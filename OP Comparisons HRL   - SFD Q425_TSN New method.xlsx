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rinterSettings/printerSettings4.bin" ContentType="application/vnd.openxmlformats-officedocument.spreadsheetml.printerSettings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rinterSettings/printerSettings5.bin" ContentType="application/vnd.openxmlformats-officedocument.spreadsheetml.printerSettings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rinterSettings/printerSettings6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ficloud.sharepoint.com/teams/CorporateFinance/Shared Documents/Market Analysis/Competitors Analysis/Hormel/2025/Q4/"/>
    </mc:Choice>
  </mc:AlternateContent>
  <xr:revisionPtr revIDLastSave="315" documentId="8_{56B99EE0-76B2-494E-9C30-FF46B018790C}" xr6:coauthVersionLast="47" xr6:coauthVersionMax="47" xr10:uidLastSave="{C0CDD496-15BA-45EC-B4D8-A97E48C14137}"/>
  <bookViews>
    <workbookView minimized="1" xWindow="-15030" yWindow="-14310" windowWidth="28770" windowHeight="15450" firstSheet="3" activeTab="3" xr2:uid="{66EA211E-BB14-4BA8-A372-48464B6A66CB}"/>
  </bookViews>
  <sheets>
    <sheet name="PB_CACHE" sheetId="13" state="veryHidden" r:id="rId1"/>
    <sheet name="Data-Cons" sheetId="9" state="hidden" r:id="rId2"/>
    <sheet name="Q4 2025" sheetId="12" r:id="rId3"/>
    <sheet name="Data-PM vs PF" sheetId="14" r:id="rId4"/>
    <sheet name="Q2 2022 (Spec)" sheetId="11" state="hidden" r:id="rId5"/>
    <sheet name="Q2 2022 (HML)" sheetId="10" state="hidden" r:id="rId6"/>
    <sheet name="Q2 2022" sheetId="8" state="hidden" r:id="rId7"/>
    <sheet name="Q1 2022" sheetId="1" state="hidden" r:id="rId8"/>
    <sheet name="Special SGA" sheetId="7" state="hidden" r:id="rId9"/>
    <sheet name="SGA" sheetId="6" state="hidden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7">'Q1 2022'!$B$1:$L$37</definedName>
    <definedName name="_xlnm.Print_Area" localSheetId="6">'Q2 2022'!$B$1:$L$37</definedName>
    <definedName name="_xlnm.Print_Area" localSheetId="5">'Q2 2022 (HML)'!$B$1:$L$41</definedName>
    <definedName name="_xlnm.Print_Area" localSheetId="4">'Q2 2022 (Spec)'!$B$1:$L$54</definedName>
    <definedName name="_xlnm.Print_Area" localSheetId="2">'Q4 2025'!$B$1:$L$32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12" l="1"/>
  <c r="V17" i="12"/>
  <c r="W16" i="12"/>
  <c r="V16" i="12"/>
  <c r="E76" i="14"/>
  <c r="D76" i="14"/>
  <c r="E75" i="14"/>
  <c r="D75" i="14"/>
  <c r="E50" i="14"/>
  <c r="D50" i="14"/>
  <c r="E51" i="14"/>
  <c r="D51" i="14"/>
  <c r="E24" i="14"/>
  <c r="D24" i="14"/>
  <c r="E25" i="14"/>
  <c r="D25" i="14"/>
  <c r="V26" i="12"/>
  <c r="W26" i="12"/>
  <c r="W27" i="12"/>
  <c r="V27" i="12"/>
  <c r="W7" i="12" l="1"/>
  <c r="V7" i="12"/>
  <c r="V6" i="12"/>
  <c r="W6" i="12"/>
  <c r="V8" i="12" l="1"/>
  <c r="U27" i="12"/>
  <c r="U26" i="12"/>
  <c r="T27" i="12"/>
  <c r="T26" i="12"/>
  <c r="T29" i="12"/>
  <c r="T28" i="12"/>
  <c r="V30" i="12" l="1"/>
  <c r="V10" i="12"/>
  <c r="U20" i="12"/>
  <c r="W10" i="12"/>
  <c r="W19" i="12" l="1"/>
  <c r="W18" i="12"/>
  <c r="V19" i="12"/>
  <c r="V18" i="12"/>
  <c r="I26" i="12"/>
  <c r="C26" i="12" s="1"/>
  <c r="T9" i="12"/>
  <c r="T8" i="12"/>
  <c r="D34" i="14"/>
  <c r="D37" i="14"/>
  <c r="D36" i="14"/>
  <c r="D35" i="14"/>
  <c r="D33" i="14"/>
  <c r="D32" i="14"/>
  <c r="D31" i="14"/>
  <c r="D30" i="14"/>
  <c r="E33" i="14"/>
  <c r="E32" i="14"/>
  <c r="E31" i="14"/>
  <c r="E30" i="14"/>
  <c r="E37" i="14"/>
  <c r="E36" i="14"/>
  <c r="E35" i="14"/>
  <c r="E34" i="14"/>
  <c r="U29" i="12"/>
  <c r="U19" i="12" s="1"/>
  <c r="U28" i="12"/>
  <c r="U18" i="12" s="1"/>
  <c r="U8" i="12"/>
  <c r="V28" i="12" l="1"/>
  <c r="E27" i="12" s="1"/>
  <c r="W28" i="12"/>
  <c r="V21" i="12"/>
  <c r="V29" i="12"/>
  <c r="W29" i="12"/>
  <c r="V20" i="12"/>
  <c r="Q27" i="12"/>
  <c r="Q28" i="12"/>
  <c r="F83" i="7"/>
  <c r="F7" i="7" s="1"/>
  <c r="E83" i="7"/>
  <c r="E7" i="7" s="1"/>
  <c r="D83" i="7"/>
  <c r="C83" i="7"/>
  <c r="B83" i="7"/>
  <c r="H76" i="7"/>
  <c r="I75" i="7"/>
  <c r="I84" i="7" s="1"/>
  <c r="H75" i="7"/>
  <c r="H84" i="7" s="1"/>
  <c r="I71" i="7"/>
  <c r="H71" i="7"/>
  <c r="H73" i="7" s="1"/>
  <c r="I70" i="7"/>
  <c r="I73" i="7" s="1"/>
  <c r="H70" i="7"/>
  <c r="J70" i="7" s="1"/>
  <c r="K70" i="7" s="1"/>
  <c r="F64" i="7"/>
  <c r="E64" i="7"/>
  <c r="D64" i="7"/>
  <c r="C64" i="7"/>
  <c r="I64" i="7" s="1"/>
  <c r="I6" i="7" s="1"/>
  <c r="B64" i="7"/>
  <c r="H64" i="7" s="1"/>
  <c r="I56" i="7"/>
  <c r="I62" i="7" s="1"/>
  <c r="H56" i="7"/>
  <c r="H65" i="7" s="1"/>
  <c r="I52" i="7"/>
  <c r="H52" i="7"/>
  <c r="J52" i="7" s="1"/>
  <c r="K52" i="7" s="1"/>
  <c r="I51" i="7"/>
  <c r="I54" i="7" s="1"/>
  <c r="H51" i="7"/>
  <c r="F45" i="7"/>
  <c r="E45" i="7"/>
  <c r="D45" i="7"/>
  <c r="C45" i="7"/>
  <c r="B45" i="7"/>
  <c r="I42" i="7"/>
  <c r="I40" i="7"/>
  <c r="H40" i="7"/>
  <c r="I39" i="7"/>
  <c r="I38" i="7"/>
  <c r="I37" i="7"/>
  <c r="I41" i="7" s="1"/>
  <c r="H37" i="7"/>
  <c r="H42" i="7" s="1"/>
  <c r="J42" i="7" s="1"/>
  <c r="K42" i="7" s="1"/>
  <c r="I35" i="7"/>
  <c r="I33" i="7"/>
  <c r="H33" i="7"/>
  <c r="H35" i="7" s="1"/>
  <c r="I32" i="7"/>
  <c r="H32" i="7"/>
  <c r="H27" i="7"/>
  <c r="E26" i="7"/>
  <c r="D26" i="7"/>
  <c r="C26" i="7"/>
  <c r="B26" i="7"/>
  <c r="H25" i="7"/>
  <c r="F25" i="7"/>
  <c r="H24" i="7"/>
  <c r="F24" i="7"/>
  <c r="I23" i="7"/>
  <c r="F22" i="7"/>
  <c r="H21" i="7"/>
  <c r="H20" i="7"/>
  <c r="J18" i="7"/>
  <c r="K18" i="7" s="1"/>
  <c r="I18" i="7"/>
  <c r="I19" i="7" s="1"/>
  <c r="H18" i="7"/>
  <c r="H23" i="7" s="1"/>
  <c r="F18" i="7"/>
  <c r="F20" i="7" s="1"/>
  <c r="H16" i="7"/>
  <c r="F16" i="7"/>
  <c r="I14" i="7"/>
  <c r="H14" i="7"/>
  <c r="F14" i="7"/>
  <c r="I13" i="7"/>
  <c r="H13" i="7"/>
  <c r="J13" i="7" s="1"/>
  <c r="K13" i="7" s="1"/>
  <c r="F13" i="7"/>
  <c r="D7" i="7"/>
  <c r="C7" i="7"/>
  <c r="B7" i="7"/>
  <c r="F6" i="7"/>
  <c r="E6" i="7"/>
  <c r="D6" i="7"/>
  <c r="F5" i="7"/>
  <c r="E5" i="7"/>
  <c r="D5" i="7"/>
  <c r="C5" i="7"/>
  <c r="B5" i="7"/>
  <c r="D4" i="7"/>
  <c r="C4" i="7"/>
  <c r="B4" i="7"/>
  <c r="J37" i="1"/>
  <c r="I37" i="1"/>
  <c r="J36" i="1"/>
  <c r="I36" i="1"/>
  <c r="J35" i="1"/>
  <c r="I35" i="1"/>
  <c r="L34" i="1"/>
  <c r="K34" i="1"/>
  <c r="J34" i="1"/>
  <c r="I34" i="1"/>
  <c r="T30" i="1"/>
  <c r="E35" i="1" s="1"/>
  <c r="R30" i="1"/>
  <c r="Q30" i="1"/>
  <c r="P30" i="1"/>
  <c r="T29" i="1"/>
  <c r="R29" i="1"/>
  <c r="Q29" i="1"/>
  <c r="P29" i="1"/>
  <c r="P31" i="1" s="1"/>
  <c r="T28" i="1"/>
  <c r="R28" i="1"/>
  <c r="K36" i="1" s="1"/>
  <c r="Q28" i="1"/>
  <c r="Q31" i="1" s="1"/>
  <c r="P28" i="1"/>
  <c r="U28" i="1" s="1"/>
  <c r="U27" i="1"/>
  <c r="U30" i="1" s="1"/>
  <c r="F35" i="1" s="1"/>
  <c r="S27" i="1"/>
  <c r="S30" i="1" s="1"/>
  <c r="U26" i="1"/>
  <c r="S26" i="1"/>
  <c r="U25" i="1"/>
  <c r="S25" i="1"/>
  <c r="U24" i="1"/>
  <c r="S24" i="1"/>
  <c r="L19" i="1"/>
  <c r="L20" i="1" s="1"/>
  <c r="K19" i="1"/>
  <c r="K20" i="1" s="1"/>
  <c r="J19" i="1"/>
  <c r="J20" i="1" s="1"/>
  <c r="I19" i="1"/>
  <c r="I20" i="1" s="1"/>
  <c r="L18" i="1"/>
  <c r="K18" i="1"/>
  <c r="J18" i="1"/>
  <c r="I18" i="1"/>
  <c r="L17" i="1"/>
  <c r="K17" i="1"/>
  <c r="J17" i="1"/>
  <c r="I17" i="1"/>
  <c r="R13" i="1"/>
  <c r="Q13" i="1"/>
  <c r="P13" i="1"/>
  <c r="R12" i="1"/>
  <c r="Q12" i="1"/>
  <c r="P12" i="1"/>
  <c r="S10" i="1"/>
  <c r="S9" i="1"/>
  <c r="S8" i="1"/>
  <c r="S7" i="1"/>
  <c r="L36" i="8"/>
  <c r="K36" i="8"/>
  <c r="R35" i="8"/>
  <c r="I35" i="8"/>
  <c r="R27" i="8"/>
  <c r="O27" i="8"/>
  <c r="L17" i="8" s="1"/>
  <c r="L34" i="8" s="1"/>
  <c r="R26" i="8"/>
  <c r="O26" i="8"/>
  <c r="K17" i="8" s="1"/>
  <c r="K34" i="8" s="1"/>
  <c r="T25" i="8"/>
  <c r="T34" i="8" s="1"/>
  <c r="E35" i="8" s="1"/>
  <c r="R25" i="8"/>
  <c r="J36" i="8" s="1"/>
  <c r="Q25" i="8"/>
  <c r="Q34" i="8" s="1"/>
  <c r="P25" i="8"/>
  <c r="P34" i="8" s="1"/>
  <c r="T24" i="8"/>
  <c r="U24" i="8" s="1"/>
  <c r="S24" i="8"/>
  <c r="R24" i="8"/>
  <c r="I36" i="8" s="1"/>
  <c r="I37" i="8" s="1"/>
  <c r="Q24" i="8"/>
  <c r="P24" i="8"/>
  <c r="F19" i="8"/>
  <c r="E19" i="8"/>
  <c r="F18" i="8"/>
  <c r="E18" i="8"/>
  <c r="J17" i="8"/>
  <c r="J34" i="8" s="1"/>
  <c r="I17" i="8"/>
  <c r="I34" i="8" s="1"/>
  <c r="R10" i="8"/>
  <c r="R13" i="8" s="1"/>
  <c r="O10" i="8"/>
  <c r="R9" i="8"/>
  <c r="O9" i="8"/>
  <c r="R8" i="8"/>
  <c r="R7" i="8"/>
  <c r="R12" i="8" s="1"/>
  <c r="R37" i="10"/>
  <c r="P36" i="10"/>
  <c r="R35" i="10"/>
  <c r="O35" i="10"/>
  <c r="L12" i="10" s="1"/>
  <c r="R34" i="10"/>
  <c r="O34" i="10"/>
  <c r="T33" i="10"/>
  <c r="R33" i="10"/>
  <c r="Q33" i="10"/>
  <c r="Q36" i="10" s="1"/>
  <c r="P33" i="10"/>
  <c r="J39" i="10" s="1"/>
  <c r="T32" i="10"/>
  <c r="U32" i="10" s="1"/>
  <c r="R32" i="10"/>
  <c r="S32" i="10" s="1"/>
  <c r="Q32" i="10"/>
  <c r="I40" i="10" s="1"/>
  <c r="P32" i="10"/>
  <c r="I39" i="10" s="1"/>
  <c r="J26" i="10"/>
  <c r="I26" i="10"/>
  <c r="T24" i="10"/>
  <c r="E27" i="10" s="1"/>
  <c r="T22" i="10"/>
  <c r="R22" i="10"/>
  <c r="Q22" i="10"/>
  <c r="P22" i="10"/>
  <c r="U22" i="10" s="1"/>
  <c r="T21" i="10"/>
  <c r="R21" i="10"/>
  <c r="Q21" i="10"/>
  <c r="K27" i="10" s="1"/>
  <c r="P21" i="10"/>
  <c r="U21" i="10" s="1"/>
  <c r="T20" i="10"/>
  <c r="U20" i="10" s="1"/>
  <c r="R20" i="10"/>
  <c r="Q20" i="10"/>
  <c r="S20" i="10" s="1"/>
  <c r="P20" i="10"/>
  <c r="P23" i="10" s="1"/>
  <c r="T19" i="10"/>
  <c r="S19" i="10"/>
  <c r="R19" i="10"/>
  <c r="Q19" i="10"/>
  <c r="P19" i="10"/>
  <c r="F14" i="10"/>
  <c r="E14" i="10"/>
  <c r="F13" i="10"/>
  <c r="E13" i="10"/>
  <c r="K12" i="10"/>
  <c r="K25" i="10" s="1"/>
  <c r="J12" i="10"/>
  <c r="J25" i="10" s="1"/>
  <c r="I12" i="10"/>
  <c r="I25" i="10" s="1"/>
  <c r="R11" i="10"/>
  <c r="R9" i="10"/>
  <c r="O9" i="10"/>
  <c r="R8" i="10"/>
  <c r="O8" i="10"/>
  <c r="R7" i="10"/>
  <c r="R10" i="10" s="1"/>
  <c r="R6" i="10"/>
  <c r="R51" i="11"/>
  <c r="R44" i="11"/>
  <c r="O44" i="11"/>
  <c r="L17" i="11" s="1"/>
  <c r="L34" i="11" s="1"/>
  <c r="R43" i="11"/>
  <c r="R52" i="11" s="1"/>
  <c r="O43" i="11"/>
  <c r="K17" i="11" s="1"/>
  <c r="T42" i="11"/>
  <c r="T51" i="11" s="1"/>
  <c r="E52" i="11" s="1"/>
  <c r="R42" i="11"/>
  <c r="Q42" i="11"/>
  <c r="J53" i="11" s="1"/>
  <c r="P42" i="11"/>
  <c r="J52" i="11" s="1"/>
  <c r="T41" i="11"/>
  <c r="R41" i="11"/>
  <c r="Q41" i="11"/>
  <c r="I53" i="11" s="1"/>
  <c r="I54" i="11" s="1"/>
  <c r="P41" i="11"/>
  <c r="I52" i="11" s="1"/>
  <c r="I36" i="11"/>
  <c r="I37" i="11" s="1"/>
  <c r="R30" i="11"/>
  <c r="P29" i="11"/>
  <c r="T27" i="11"/>
  <c r="R27" i="11"/>
  <c r="Q27" i="11"/>
  <c r="Q30" i="11" s="1"/>
  <c r="P27" i="11"/>
  <c r="T26" i="11"/>
  <c r="U26" i="11" s="1"/>
  <c r="R26" i="11"/>
  <c r="Q26" i="11"/>
  <c r="K36" i="11" s="1"/>
  <c r="P26" i="11"/>
  <c r="S26" i="11" s="1"/>
  <c r="U25" i="11"/>
  <c r="T25" i="11"/>
  <c r="T29" i="11" s="1"/>
  <c r="E35" i="11" s="1"/>
  <c r="S25" i="11"/>
  <c r="R25" i="11"/>
  <c r="R29" i="11" s="1"/>
  <c r="Q25" i="11"/>
  <c r="J36" i="11" s="1"/>
  <c r="P25" i="11"/>
  <c r="J35" i="11" s="1"/>
  <c r="T24" i="11"/>
  <c r="R24" i="11"/>
  <c r="Q24" i="11"/>
  <c r="Q29" i="11" s="1"/>
  <c r="P24" i="11"/>
  <c r="I35" i="11" s="1"/>
  <c r="L19" i="11"/>
  <c r="L20" i="11" s="1"/>
  <c r="K19" i="11"/>
  <c r="K20" i="11" s="1"/>
  <c r="F19" i="11"/>
  <c r="E19" i="11"/>
  <c r="L18" i="11"/>
  <c r="K18" i="11"/>
  <c r="F18" i="11"/>
  <c r="E18" i="11"/>
  <c r="J17" i="11"/>
  <c r="J34" i="11" s="1"/>
  <c r="I17" i="11"/>
  <c r="I34" i="11" s="1"/>
  <c r="R8" i="11"/>
  <c r="R7" i="11"/>
  <c r="F51" i="14"/>
  <c r="F50" i="14"/>
  <c r="W9" i="12"/>
  <c r="V9" i="12"/>
  <c r="W8" i="12"/>
  <c r="K28" i="12" s="1"/>
  <c r="F38" i="9"/>
  <c r="E38" i="9"/>
  <c r="D38" i="9"/>
  <c r="F37" i="9"/>
  <c r="E37" i="9"/>
  <c r="D37" i="9"/>
  <c r="F36" i="9"/>
  <c r="T35" i="10" s="1"/>
  <c r="E36" i="9"/>
  <c r="Q27" i="8" s="1"/>
  <c r="D36" i="9"/>
  <c r="P44" i="11" s="1"/>
  <c r="F35" i="9"/>
  <c r="T34" i="10" s="1"/>
  <c r="E35" i="9"/>
  <c r="Q34" i="10" s="1"/>
  <c r="K40" i="10" s="1"/>
  <c r="D35" i="9"/>
  <c r="P34" i="10" s="1"/>
  <c r="F34" i="9"/>
  <c r="E34" i="9"/>
  <c r="D34" i="9"/>
  <c r="F33" i="9"/>
  <c r="E33" i="9"/>
  <c r="D33" i="9"/>
  <c r="F32" i="9"/>
  <c r="E32" i="9"/>
  <c r="D32" i="9"/>
  <c r="F31" i="9"/>
  <c r="E31" i="9"/>
  <c r="D31" i="9"/>
  <c r="E17" i="9"/>
  <c r="D17" i="9"/>
  <c r="F16" i="9"/>
  <c r="T10" i="8" s="1"/>
  <c r="F15" i="9"/>
  <c r="T9" i="8" s="1"/>
  <c r="E9" i="9"/>
  <c r="D9" i="9"/>
  <c r="E8" i="9"/>
  <c r="Q8" i="8" s="1"/>
  <c r="D8" i="9"/>
  <c r="P8" i="8" s="1"/>
  <c r="E7" i="9"/>
  <c r="D7" i="9"/>
  <c r="E6" i="9"/>
  <c r="D6" i="9"/>
  <c r="E5" i="9"/>
  <c r="E15" i="9" s="1"/>
  <c r="D5" i="9"/>
  <c r="D15" i="9" s="1"/>
  <c r="E4" i="9"/>
  <c r="D4" i="9"/>
  <c r="L26" i="12"/>
  <c r="K26" i="12"/>
  <c r="J26" i="12"/>
  <c r="O27" i="12"/>
  <c r="C28" i="12"/>
  <c r="C27" i="12"/>
  <c r="P28" i="12"/>
  <c r="P27" i="12"/>
  <c r="X16" i="12"/>
  <c r="O28" i="12"/>
  <c r="U9" i="12"/>
  <c r="K27" i="12"/>
  <c r="J27" i="12"/>
  <c r="I28" i="12"/>
  <c r="I27" i="12"/>
  <c r="J37" i="11" l="1"/>
  <c r="J40" i="10"/>
  <c r="J41" i="10" s="1"/>
  <c r="I45" i="7"/>
  <c r="I5" i="7" s="1"/>
  <c r="P7" i="8"/>
  <c r="I18" i="8" s="1"/>
  <c r="J33" i="7"/>
  <c r="K33" i="7" s="1"/>
  <c r="H46" i="7"/>
  <c r="J46" i="7" s="1"/>
  <c r="K46" i="7" s="1"/>
  <c r="J75" i="7"/>
  <c r="K75" i="7" s="1"/>
  <c r="T43" i="11"/>
  <c r="Q7" i="8"/>
  <c r="S7" i="8" s="1"/>
  <c r="J23" i="7"/>
  <c r="K23" i="7" s="1"/>
  <c r="I46" i="7"/>
  <c r="J27" i="10"/>
  <c r="J28" i="10" s="1"/>
  <c r="D8" i="7"/>
  <c r="J35" i="7"/>
  <c r="K35" i="7" s="1"/>
  <c r="J51" i="7"/>
  <c r="K51" i="7" s="1"/>
  <c r="P30" i="11"/>
  <c r="U19" i="10"/>
  <c r="S29" i="1"/>
  <c r="H78" i="7"/>
  <c r="T44" i="11"/>
  <c r="T52" i="11" s="1"/>
  <c r="E53" i="11" s="1"/>
  <c r="Q23" i="10"/>
  <c r="T31" i="1"/>
  <c r="E36" i="1" s="1"/>
  <c r="I78" i="7"/>
  <c r="I51" i="11"/>
  <c r="R23" i="10"/>
  <c r="P27" i="8"/>
  <c r="S27" i="8" s="1"/>
  <c r="I20" i="7"/>
  <c r="J20" i="7" s="1"/>
  <c r="K20" i="7" s="1"/>
  <c r="I34" i="7"/>
  <c r="H80" i="7"/>
  <c r="J51" i="11"/>
  <c r="S23" i="10"/>
  <c r="H39" i="7"/>
  <c r="J39" i="7" s="1"/>
  <c r="K39" i="7" s="1"/>
  <c r="H82" i="7"/>
  <c r="J82" i="7" s="1"/>
  <c r="K82" i="7" s="1"/>
  <c r="I82" i="7"/>
  <c r="D14" i="9"/>
  <c r="H83" i="7"/>
  <c r="H7" i="7" s="1"/>
  <c r="J7" i="7" s="1"/>
  <c r="K7" i="7" s="1"/>
  <c r="Q7" i="10"/>
  <c r="J14" i="10" s="1"/>
  <c r="J40" i="7"/>
  <c r="K40" i="7" s="1"/>
  <c r="I83" i="7"/>
  <c r="I7" i="7" s="1"/>
  <c r="R36" i="10"/>
  <c r="S33" i="10"/>
  <c r="H43" i="7"/>
  <c r="J43" i="7" s="1"/>
  <c r="K43" i="7" s="1"/>
  <c r="E14" i="9"/>
  <c r="U23" i="10"/>
  <c r="F26" i="10" s="1"/>
  <c r="T36" i="10"/>
  <c r="E39" i="10" s="1"/>
  <c r="I43" i="7"/>
  <c r="T8" i="10"/>
  <c r="H44" i="7"/>
  <c r="S21" i="10"/>
  <c r="S24" i="10" s="1"/>
  <c r="I44" i="7"/>
  <c r="J44" i="7" s="1"/>
  <c r="K44" i="7" s="1"/>
  <c r="T9" i="10"/>
  <c r="F26" i="7"/>
  <c r="F4" i="7" s="1"/>
  <c r="F8" i="7" s="1"/>
  <c r="L35" i="1"/>
  <c r="J73" i="7"/>
  <c r="K73" i="7" s="1"/>
  <c r="P7" i="11"/>
  <c r="U7" i="11" s="1"/>
  <c r="S22" i="10"/>
  <c r="I27" i="7"/>
  <c r="J27" i="7" s="1"/>
  <c r="K27" i="7" s="1"/>
  <c r="S42" i="11"/>
  <c r="R24" i="10"/>
  <c r="J14" i="7"/>
  <c r="K14" i="7" s="1"/>
  <c r="J32" i="7"/>
  <c r="K32" i="7" s="1"/>
  <c r="Q8" i="11"/>
  <c r="J19" i="11" s="1"/>
  <c r="H45" i="7"/>
  <c r="J45" i="7" s="1"/>
  <c r="K45" i="7" s="1"/>
  <c r="J84" i="7"/>
  <c r="K84" i="7" s="1"/>
  <c r="V11" i="12"/>
  <c r="L27" i="12"/>
  <c r="V31" i="12"/>
  <c r="R27" i="12"/>
  <c r="I29" i="12"/>
  <c r="W21" i="12"/>
  <c r="W30" i="12"/>
  <c r="X28" i="12"/>
  <c r="P29" i="12"/>
  <c r="O29" i="12"/>
  <c r="X26" i="12"/>
  <c r="D27" i="12"/>
  <c r="X6" i="12"/>
  <c r="X7" i="12"/>
  <c r="C29" i="12"/>
  <c r="X8" i="12"/>
  <c r="K34" i="11"/>
  <c r="K51" i="11"/>
  <c r="I41" i="10"/>
  <c r="L52" i="11"/>
  <c r="U44" i="11"/>
  <c r="P52" i="11"/>
  <c r="J65" i="7"/>
  <c r="K65" i="7" s="1"/>
  <c r="P26" i="12"/>
  <c r="D26" i="12"/>
  <c r="Q8" i="10"/>
  <c r="Q9" i="8"/>
  <c r="T37" i="10"/>
  <c r="E40" i="10" s="1"/>
  <c r="S44" i="11"/>
  <c r="P8" i="10"/>
  <c r="P9" i="8"/>
  <c r="J64" i="7"/>
  <c r="K64" i="7" s="1"/>
  <c r="H6" i="7"/>
  <c r="J6" i="7" s="1"/>
  <c r="K6" i="7" s="1"/>
  <c r="L25" i="10"/>
  <c r="L38" i="10"/>
  <c r="K29" i="12"/>
  <c r="W11" i="12"/>
  <c r="L28" i="12"/>
  <c r="X9" i="12"/>
  <c r="U24" i="10"/>
  <c r="F27" i="10" s="1"/>
  <c r="S36" i="10"/>
  <c r="Q29" i="12"/>
  <c r="U8" i="8"/>
  <c r="J18" i="8"/>
  <c r="P12" i="8"/>
  <c r="J37" i="8"/>
  <c r="O26" i="12"/>
  <c r="J54" i="11"/>
  <c r="Q12" i="8"/>
  <c r="J19" i="8"/>
  <c r="S8" i="8"/>
  <c r="S12" i="8" s="1"/>
  <c r="Q26" i="12"/>
  <c r="E26" i="12"/>
  <c r="S34" i="10"/>
  <c r="J83" i="7"/>
  <c r="K83" i="7" s="1"/>
  <c r="R26" i="12"/>
  <c r="F26" i="12"/>
  <c r="K39" i="10"/>
  <c r="K41" i="10" s="1"/>
  <c r="U34" i="10"/>
  <c r="W31" i="12"/>
  <c r="F28" i="12"/>
  <c r="X29" i="12"/>
  <c r="D18" i="9"/>
  <c r="T30" i="11"/>
  <c r="E36" i="11" s="1"/>
  <c r="P6" i="10"/>
  <c r="T23" i="10"/>
  <c r="E26" i="10" s="1"/>
  <c r="K26" i="10"/>
  <c r="K28" i="10" s="1"/>
  <c r="P35" i="10"/>
  <c r="S35" i="10" s="1"/>
  <c r="H5" i="7"/>
  <c r="J5" i="7" s="1"/>
  <c r="K5" i="7" s="1"/>
  <c r="I16" i="7"/>
  <c r="J16" i="7" s="1"/>
  <c r="K16" i="7" s="1"/>
  <c r="H26" i="7"/>
  <c r="I65" i="7"/>
  <c r="X27" i="12"/>
  <c r="X17" i="12"/>
  <c r="X20" i="12" s="1"/>
  <c r="D28" i="12"/>
  <c r="E18" i="9"/>
  <c r="Q7" i="11"/>
  <c r="S24" i="11"/>
  <c r="S29" i="11" s="1"/>
  <c r="L36" i="11"/>
  <c r="U42" i="11"/>
  <c r="Q6" i="10"/>
  <c r="L26" i="10"/>
  <c r="Q35" i="10"/>
  <c r="J35" i="8"/>
  <c r="U29" i="1"/>
  <c r="U31" i="1" s="1"/>
  <c r="F36" i="1" s="1"/>
  <c r="I26" i="7"/>
  <c r="I4" i="7" s="1"/>
  <c r="I8" i="7" s="1"/>
  <c r="F27" i="12"/>
  <c r="E28" i="12"/>
  <c r="E29" i="12" s="1"/>
  <c r="P24" i="10"/>
  <c r="I38" i="10"/>
  <c r="I19" i="8"/>
  <c r="I20" i="8" s="1"/>
  <c r="T27" i="8"/>
  <c r="F21" i="7"/>
  <c r="H54" i="7"/>
  <c r="J54" i="7" s="1"/>
  <c r="K54" i="7" s="1"/>
  <c r="H59" i="7"/>
  <c r="J59" i="7" s="1"/>
  <c r="K59" i="7" s="1"/>
  <c r="H63" i="7"/>
  <c r="U24" i="11"/>
  <c r="U29" i="11" s="1"/>
  <c r="F35" i="11" s="1"/>
  <c r="S27" i="11"/>
  <c r="S30" i="11" s="1"/>
  <c r="P43" i="11"/>
  <c r="L51" i="11"/>
  <c r="Q24" i="10"/>
  <c r="J38" i="10"/>
  <c r="S25" i="8"/>
  <c r="S34" i="8" s="1"/>
  <c r="L35" i="8"/>
  <c r="L37" i="8" s="1"/>
  <c r="I24" i="7"/>
  <c r="J24" i="7" s="1"/>
  <c r="K24" i="7" s="1"/>
  <c r="I59" i="7"/>
  <c r="I63" i="7"/>
  <c r="H79" i="7"/>
  <c r="J79" i="7" s="1"/>
  <c r="K79" i="7" s="1"/>
  <c r="X18" i="12"/>
  <c r="D12" i="9"/>
  <c r="Q43" i="11"/>
  <c r="K53" i="11" s="1"/>
  <c r="P51" i="11"/>
  <c r="I27" i="10"/>
  <c r="I28" i="10" s="1"/>
  <c r="K38" i="10"/>
  <c r="B6" i="7"/>
  <c r="B8" i="7" s="1"/>
  <c r="I21" i="7"/>
  <c r="J21" i="7" s="1"/>
  <c r="K21" i="7" s="1"/>
  <c r="F27" i="7"/>
  <c r="I79" i="7"/>
  <c r="J28" i="12"/>
  <c r="J29" i="12" s="1"/>
  <c r="E12" i="9"/>
  <c r="P8" i="11"/>
  <c r="U27" i="11"/>
  <c r="U30" i="11" s="1"/>
  <c r="F36" i="11" s="1"/>
  <c r="Q51" i="11"/>
  <c r="P7" i="10"/>
  <c r="U25" i="8"/>
  <c r="U34" i="8" s="1"/>
  <c r="F35" i="8" s="1"/>
  <c r="E4" i="7"/>
  <c r="E8" i="7" s="1"/>
  <c r="C6" i="7"/>
  <c r="C8" i="7" s="1"/>
  <c r="K35" i="1"/>
  <c r="K37" i="1" s="1"/>
  <c r="H60" i="7"/>
  <c r="L27" i="10"/>
  <c r="U33" i="10"/>
  <c r="U36" i="10" s="1"/>
  <c r="F39" i="10" s="1"/>
  <c r="P26" i="8"/>
  <c r="S26" i="8" s="1"/>
  <c r="I60" i="7"/>
  <c r="Q26" i="8"/>
  <c r="Q35" i="8" s="1"/>
  <c r="F19" i="7"/>
  <c r="F15" i="7" s="1"/>
  <c r="H22" i="7"/>
  <c r="J22" i="7" s="1"/>
  <c r="K22" i="7" s="1"/>
  <c r="I25" i="7"/>
  <c r="J25" i="7" s="1"/>
  <c r="K25" i="7" s="1"/>
  <c r="J56" i="7"/>
  <c r="K56" i="7" s="1"/>
  <c r="I76" i="7"/>
  <c r="I80" i="7"/>
  <c r="J80" i="7" s="1"/>
  <c r="K80" i="7" s="1"/>
  <c r="X19" i="12"/>
  <c r="W20" i="12"/>
  <c r="S41" i="11"/>
  <c r="S51" i="11" s="1"/>
  <c r="S28" i="1"/>
  <c r="S31" i="1" s="1"/>
  <c r="H19" i="7"/>
  <c r="I22" i="7"/>
  <c r="H41" i="7"/>
  <c r="J41" i="7" s="1"/>
  <c r="K41" i="7" s="1"/>
  <c r="J71" i="7"/>
  <c r="K71" i="7" s="1"/>
  <c r="K35" i="11"/>
  <c r="K37" i="11" s="1"/>
  <c r="U7" i="8"/>
  <c r="R34" i="8"/>
  <c r="R31" i="1"/>
  <c r="H57" i="7"/>
  <c r="H61" i="7"/>
  <c r="J61" i="7" s="1"/>
  <c r="K61" i="7" s="1"/>
  <c r="R28" i="12"/>
  <c r="D16" i="9"/>
  <c r="L35" i="11"/>
  <c r="U41" i="11"/>
  <c r="Q44" i="11"/>
  <c r="T26" i="8"/>
  <c r="J37" i="7"/>
  <c r="K37" i="7" s="1"/>
  <c r="I57" i="7"/>
  <c r="I61" i="7"/>
  <c r="H77" i="7"/>
  <c r="H81" i="7"/>
  <c r="E16" i="9"/>
  <c r="F23" i="7"/>
  <c r="I77" i="7"/>
  <c r="I81" i="7"/>
  <c r="L36" i="1"/>
  <c r="L37" i="1" s="1"/>
  <c r="H38" i="7"/>
  <c r="H58" i="7"/>
  <c r="H62" i="7"/>
  <c r="J62" i="7" s="1"/>
  <c r="K62" i="7" s="1"/>
  <c r="I58" i="7"/>
  <c r="L37" i="11" l="1"/>
  <c r="S35" i="8"/>
  <c r="J78" i="7"/>
  <c r="K78" i="7" s="1"/>
  <c r="P35" i="8"/>
  <c r="L29" i="12"/>
  <c r="U51" i="11"/>
  <c r="F52" i="11" s="1"/>
  <c r="I53" i="7"/>
  <c r="J63" i="7"/>
  <c r="K63" i="7" s="1"/>
  <c r="S8" i="11"/>
  <c r="I18" i="11"/>
  <c r="J58" i="7"/>
  <c r="K58" i="7" s="1"/>
  <c r="J60" i="7"/>
  <c r="K60" i="7" s="1"/>
  <c r="R29" i="12"/>
  <c r="X21" i="12"/>
  <c r="X31" i="12"/>
  <c r="X10" i="12"/>
  <c r="X11" i="12"/>
  <c r="D29" i="12"/>
  <c r="X30" i="12"/>
  <c r="F29" i="12"/>
  <c r="P10" i="8"/>
  <c r="P9" i="10"/>
  <c r="J38" i="7"/>
  <c r="K38" i="7" s="1"/>
  <c r="H34" i="7"/>
  <c r="J34" i="7" s="1"/>
  <c r="K34" i="7" s="1"/>
  <c r="I14" i="10"/>
  <c r="S6" i="10"/>
  <c r="I13" i="10"/>
  <c r="U6" i="10"/>
  <c r="I15" i="7"/>
  <c r="H53" i="7"/>
  <c r="J57" i="7"/>
  <c r="K57" i="7" s="1"/>
  <c r="I72" i="7"/>
  <c r="S37" i="10"/>
  <c r="U7" i="10"/>
  <c r="P10" i="10"/>
  <c r="J13" i="10"/>
  <c r="J15" i="10" s="1"/>
  <c r="I19" i="11"/>
  <c r="I20" i="11" s="1"/>
  <c r="S7" i="11"/>
  <c r="T35" i="8"/>
  <c r="E36" i="8" s="1"/>
  <c r="U9" i="8"/>
  <c r="K18" i="8"/>
  <c r="J77" i="7"/>
  <c r="K77" i="7" s="1"/>
  <c r="J76" i="7"/>
  <c r="K76" i="7" s="1"/>
  <c r="U8" i="11"/>
  <c r="J18" i="11"/>
  <c r="J20" i="11" s="1"/>
  <c r="K13" i="10"/>
  <c r="U8" i="10"/>
  <c r="Q10" i="8"/>
  <c r="Q9" i="10"/>
  <c r="S7" i="10"/>
  <c r="H72" i="7"/>
  <c r="U27" i="8"/>
  <c r="J20" i="8"/>
  <c r="J81" i="7"/>
  <c r="K81" i="7" s="1"/>
  <c r="H4" i="7"/>
  <c r="J26" i="7"/>
  <c r="K26" i="7" s="1"/>
  <c r="J19" i="7"/>
  <c r="K19" i="7" s="1"/>
  <c r="H15" i="7"/>
  <c r="J15" i="7" s="1"/>
  <c r="K15" i="7" s="1"/>
  <c r="U26" i="8"/>
  <c r="K35" i="8"/>
  <c r="K37" i="8" s="1"/>
  <c r="Q10" i="10"/>
  <c r="L28" i="10"/>
  <c r="P37" i="10"/>
  <c r="L39" i="10"/>
  <c r="U35" i="10"/>
  <c r="U37" i="10" s="1"/>
  <c r="F40" i="10" s="1"/>
  <c r="S8" i="10"/>
  <c r="K14" i="10"/>
  <c r="L53" i="11"/>
  <c r="L54" i="11" s="1"/>
  <c r="Q52" i="11"/>
  <c r="K19" i="8"/>
  <c r="K20" i="8" s="1"/>
  <c r="S9" i="8"/>
  <c r="S43" i="11"/>
  <c r="S52" i="11" s="1"/>
  <c r="U43" i="11"/>
  <c r="U52" i="11" s="1"/>
  <c r="F53" i="11" s="1"/>
  <c r="K52" i="11"/>
  <c r="K54" i="11" s="1"/>
  <c r="Q37" i="10"/>
  <c r="L40" i="10"/>
  <c r="J53" i="7" l="1"/>
  <c r="K53" i="7" s="1"/>
  <c r="S10" i="10"/>
  <c r="L14" i="10"/>
  <c r="Q11" i="10"/>
  <c r="S9" i="10"/>
  <c r="S11" i="10" s="1"/>
  <c r="S10" i="8"/>
  <c r="S13" i="8" s="1"/>
  <c r="L19" i="8"/>
  <c r="Q13" i="8"/>
  <c r="L41" i="10"/>
  <c r="H8" i="7"/>
  <c r="J8" i="7" s="1"/>
  <c r="K8" i="7" s="1"/>
  <c r="J4" i="7"/>
  <c r="K4" i="7" s="1"/>
  <c r="I15" i="10"/>
  <c r="K15" i="10"/>
  <c r="U35" i="8"/>
  <c r="F36" i="8" s="1"/>
  <c r="P11" i="10"/>
  <c r="L13" i="10"/>
  <c r="U9" i="10"/>
  <c r="J72" i="7"/>
  <c r="K72" i="7" s="1"/>
  <c r="L18" i="8"/>
  <c r="U10" i="8"/>
  <c r="P13" i="8"/>
  <c r="L20" i="8" l="1"/>
  <c r="L15" i="10"/>
</calcChain>
</file>

<file path=xl/sharedStrings.xml><?xml version="1.0" encoding="utf-8"?>
<sst xmlns="http://schemas.openxmlformats.org/spreadsheetml/2006/main" count="928" uniqueCount="195">
  <si>
    <t>Smithfield Packaged Comparison to Tyson Prepared Foods and Hormel Retail + Foodservice</t>
  </si>
  <si>
    <t>Tyson</t>
  </si>
  <si>
    <t>Period</t>
  </si>
  <si>
    <t>Tyson Sales</t>
  </si>
  <si>
    <t>Tyson Op Prof</t>
  </si>
  <si>
    <t>Op Mgn</t>
  </si>
  <si>
    <t>Volume</t>
  </si>
  <si>
    <t>ASP</t>
  </si>
  <si>
    <t>Q2 2024</t>
  </si>
  <si>
    <t>Q1 2024</t>
  </si>
  <si>
    <t>Q2 2025</t>
  </si>
  <si>
    <t>Q1 2025</t>
  </si>
  <si>
    <t>Change</t>
  </si>
  <si>
    <t>Q4</t>
  </si>
  <si>
    <t>Lst 4 Qtr</t>
  </si>
  <si>
    <t>Hormel</t>
  </si>
  <si>
    <t>HRL Sales</t>
  </si>
  <si>
    <t>HRL Op Prof</t>
  </si>
  <si>
    <t>Q225</t>
  </si>
  <si>
    <t>Q125</t>
  </si>
  <si>
    <t>Q122-Q422</t>
  </si>
  <si>
    <t>Q123 - Q423</t>
  </si>
  <si>
    <t>SMFD Period</t>
  </si>
  <si>
    <t>Smfd Sales</t>
  </si>
  <si>
    <t>Smfd Seg Prof</t>
  </si>
  <si>
    <t>Growth</t>
  </si>
  <si>
    <t>SP Mgn</t>
  </si>
  <si>
    <t>Sales</t>
  </si>
  <si>
    <t>Seg Prof</t>
  </si>
  <si>
    <t>SP Mgn %</t>
  </si>
  <si>
    <t>Q3</t>
  </si>
  <si>
    <t>H4sIAAAAAAAEAM2QQUvDMBTHu1Wxoh8id0toa+fcoRerKLjDpMXLGDMNDxuWJjVJhe5j+IU1KZ0ePHj1BfJeAv/f+/P3Jp7nfdpy3dX51F5PK2ZofSPlDpV9CxotWaWI6kP0DEozKbIkShKc4hhHIco7bjoFmYDOKMJDtOoqzugj9KXcgchEx/mx4xff2O2A3Y5YXIBihLM9qTjkhNbw++eilO0S3oEPr1tGjbVhtb7lnoyuglw2LVGgggei64LtwfO94GNS9NpAg3PJOQw6je9B2A300O/eOrvN9AfAS7xej6rCKCZeQ9RoKhVn1U8GKY7c+TuAaj4nMzq7iheXKUTXi80mmI5xn/rjcOSG/2jVmTv7At67jZonAgAA</t>
  </si>
  <si>
    <t>Tyson vs. Smithfield Financials</t>
  </si>
  <si>
    <t>Tyson Prepared Foods + Pork</t>
  </si>
  <si>
    <t>Company</t>
  </si>
  <si>
    <t>Tys Period</t>
  </si>
  <si>
    <t>Smfd Period</t>
  </si>
  <si>
    <t>2Q21</t>
  </si>
  <si>
    <t>Q1 2021</t>
  </si>
  <si>
    <t>3Q21</t>
  </si>
  <si>
    <t>Q2 2021</t>
  </si>
  <si>
    <t>4Q21</t>
  </si>
  <si>
    <t>Q3 2021</t>
  </si>
  <si>
    <t>2Q22</t>
  </si>
  <si>
    <t>Q1 2022</t>
  </si>
  <si>
    <t>3Q22</t>
  </si>
  <si>
    <t>Q2 2022</t>
  </si>
  <si>
    <t>4Q22</t>
  </si>
  <si>
    <t>Q3 2022</t>
  </si>
  <si>
    <t>1Q23</t>
  </si>
  <si>
    <t>Q4 2022</t>
  </si>
  <si>
    <t>1H21</t>
  </si>
  <si>
    <t>Q4&amp;Q1 2021</t>
  </si>
  <si>
    <t>Q2&amp;Q321</t>
  </si>
  <si>
    <t>H1 2021</t>
  </si>
  <si>
    <t>1H22</t>
  </si>
  <si>
    <t>Q4&amp;Q1 2022</t>
  </si>
  <si>
    <t>Q2&amp;Q322</t>
  </si>
  <si>
    <t>H1 2022</t>
  </si>
  <si>
    <t>Q1 - Q3</t>
  </si>
  <si>
    <t>Lst 3 Qtr 21</t>
  </si>
  <si>
    <t>Lst 3 Qtr 22</t>
  </si>
  <si>
    <t>Q1 - Q4</t>
  </si>
  <si>
    <t>Lst 4 Qtr 21</t>
  </si>
  <si>
    <t>Lst 4 Qtr 22</t>
  </si>
  <si>
    <t>Smithfield</t>
  </si>
  <si>
    <t>Q3 2020</t>
  </si>
  <si>
    <t>Q4 2020</t>
  </si>
  <si>
    <t>Q4 2021</t>
  </si>
  <si>
    <t>Calendar</t>
  </si>
  <si>
    <t>Q1</t>
  </si>
  <si>
    <t>Q2</t>
  </si>
  <si>
    <t>FY 2022</t>
  </si>
  <si>
    <t>Q1 2023</t>
  </si>
  <si>
    <t>Nov-Jan</t>
  </si>
  <si>
    <t>Feb-Apr</t>
  </si>
  <si>
    <t>May-Jul</t>
  </si>
  <si>
    <t>Aug-Oct</t>
  </si>
  <si>
    <t>JBS Period</t>
  </si>
  <si>
    <t>JBS</t>
  </si>
  <si>
    <t>Q421 - Q322</t>
  </si>
  <si>
    <t>Q121 - Q322</t>
  </si>
  <si>
    <t>Tyson vs. Smithfield Financials Prepared Foods vs. Packaged</t>
  </si>
  <si>
    <t>Tyson Prepared Foods</t>
  </si>
  <si>
    <t>1Q22</t>
  </si>
  <si>
    <t>2Q23</t>
  </si>
  <si>
    <t>3Q23</t>
  </si>
  <si>
    <t>Q2 2023</t>
  </si>
  <si>
    <t>4Q23</t>
  </si>
  <si>
    <t>Q3 2023</t>
  </si>
  <si>
    <t>1Q24</t>
  </si>
  <si>
    <t>Q4 2023</t>
  </si>
  <si>
    <t>2Q24</t>
  </si>
  <si>
    <t>3Q24</t>
  </si>
  <si>
    <t>4Q24</t>
  </si>
  <si>
    <t>Q3 2024</t>
  </si>
  <si>
    <t>1Q25</t>
  </si>
  <si>
    <t>Q4 2024</t>
  </si>
  <si>
    <t>2Q25</t>
  </si>
  <si>
    <t>Lst 4 Qtr PY</t>
  </si>
  <si>
    <t>Q124 - Q424</t>
  </si>
  <si>
    <t>Lst 4 Qtr CY</t>
  </si>
  <si>
    <t>HRL Period</t>
  </si>
  <si>
    <t>Smithfield Packaged Meats Comparison to Tyson</t>
  </si>
  <si>
    <t>Tyson Results have been converted to Smithfield's Calendar</t>
  </si>
  <si>
    <t>Dollars in Millions</t>
  </si>
  <si>
    <t xml:space="preserve"> TYS Q2 21</t>
  </si>
  <si>
    <t>TYS Q2 22</t>
  </si>
  <si>
    <t>HML Q2 21</t>
  </si>
  <si>
    <t>HML Q2 22</t>
  </si>
  <si>
    <t>SFD Q2 21</t>
  </si>
  <si>
    <t>SFD Q2 22</t>
  </si>
  <si>
    <t>Sales Development</t>
  </si>
  <si>
    <t>Vol Chg</t>
  </si>
  <si>
    <t>Price</t>
  </si>
  <si>
    <t>Adj Op Mgn</t>
  </si>
  <si>
    <t>Q2 2022 vs. Q2 2021</t>
  </si>
  <si>
    <t>Lst 3 Qtr 2022 vs. Lst 3 Qtr 2021</t>
  </si>
  <si>
    <t>OP Profit</t>
  </si>
  <si>
    <t>Op Mgn %</t>
  </si>
  <si>
    <t>Hormel Sales</t>
  </si>
  <si>
    <t>Hormel Op Prof</t>
  </si>
  <si>
    <t>Lst 3 Qtr</t>
  </si>
  <si>
    <t>Smfd Op Prof</t>
  </si>
  <si>
    <t>Smithfield Packaged Meats Comparison to Tyson (Prepared Foods) &amp; Hormel (Refrigerated Foods)</t>
  </si>
  <si>
    <t>Tyson Operating Profit</t>
  </si>
  <si>
    <t>H1</t>
  </si>
  <si>
    <t>Q1 2022 vs. Q1 2021</t>
  </si>
  <si>
    <t>Q4 &amp; Q1 2022 vs. Q4 &amp; Q1 2021</t>
  </si>
  <si>
    <t>Smithfield Sales</t>
  </si>
  <si>
    <t>Smithfield Seg Profit</t>
  </si>
  <si>
    <t>Smithfield Operating Profit</t>
  </si>
  <si>
    <t>Q42020 + Q12021</t>
  </si>
  <si>
    <t>Q42021 + Q12022</t>
  </si>
  <si>
    <t xml:space="preserve">US Packaged Meats </t>
  </si>
  <si>
    <t>SGA Summary</t>
  </si>
  <si>
    <t>Tot 2022</t>
  </si>
  <si>
    <t>Q4+Q1</t>
  </si>
  <si>
    <t>Q2+Q3</t>
  </si>
  <si>
    <t>Chg</t>
  </si>
  <si>
    <t>% Chg</t>
  </si>
  <si>
    <t>2022 Fcst</t>
  </si>
  <si>
    <t>4 Year Avg</t>
  </si>
  <si>
    <t>Actuals</t>
  </si>
  <si>
    <t>Budget</t>
  </si>
  <si>
    <t>FCST</t>
  </si>
  <si>
    <t>Quarterly Comparison</t>
  </si>
  <si>
    <t>Dollars</t>
  </si>
  <si>
    <t>Sales Total</t>
  </si>
  <si>
    <t>SEGMENT PROFIT</t>
  </si>
  <si>
    <t>Gross Margin %</t>
  </si>
  <si>
    <t>Segment Margin %</t>
  </si>
  <si>
    <t>Per cwt</t>
  </si>
  <si>
    <t>Sales Vol (lbs mm)</t>
  </si>
  <si>
    <t>Raw Material</t>
  </si>
  <si>
    <t>MFG Expense</t>
  </si>
  <si>
    <t>Distribution</t>
  </si>
  <si>
    <t>Mktng &amp; Adv</t>
  </si>
  <si>
    <t>Selling</t>
  </si>
  <si>
    <t>Admin</t>
  </si>
  <si>
    <t xml:space="preserve"> Total SGA Subtotal</t>
  </si>
  <si>
    <t>Segment Profits</t>
  </si>
  <si>
    <t>2021 Actuals</t>
  </si>
  <si>
    <t>Tot 2021</t>
  </si>
  <si>
    <t>2020 Actuals</t>
  </si>
  <si>
    <t>Q1 2020</t>
  </si>
  <si>
    <t>Q2 2020</t>
  </si>
  <si>
    <t>Tot 2020</t>
  </si>
  <si>
    <t>2019 Actuals</t>
  </si>
  <si>
    <t>Q1 2019</t>
  </si>
  <si>
    <t>Q2 2019</t>
  </si>
  <si>
    <t>Q3 2019</t>
  </si>
  <si>
    <t>Q4 2019</t>
  </si>
  <si>
    <t>Tot 2019</t>
  </si>
  <si>
    <t>Q1 FY22</t>
  </si>
  <si>
    <t>Q2 FY22</t>
  </si>
  <si>
    <t>Q3 FY22</t>
  </si>
  <si>
    <t>Q4 FY22</t>
  </si>
  <si>
    <t>FY22</t>
  </si>
  <si>
    <t>Volume:</t>
  </si>
  <si>
    <t>Q1 FY21</t>
  </si>
  <si>
    <t>Q2 FY21</t>
  </si>
  <si>
    <t>Q3 FY21</t>
  </si>
  <si>
    <t>Q4 FY21</t>
  </si>
  <si>
    <t>FY21</t>
  </si>
  <si>
    <t>3Q25</t>
  </si>
  <si>
    <t>Q325</t>
  </si>
  <si>
    <t>Q3 2025</t>
  </si>
  <si>
    <t>Q324</t>
  </si>
  <si>
    <t>4Q25</t>
  </si>
  <si>
    <t>Q4 2025</t>
  </si>
  <si>
    <t>Q1 2026</t>
  </si>
  <si>
    <t>Q424</t>
  </si>
  <si>
    <t>Q425</t>
  </si>
  <si>
    <t>1Q26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</si>
</sst>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"/>
    <numFmt numFmtId="166" formatCode="_(* #,##0.0_);_(* \(#,##0.0\);_(* &quot;-&quot;??_);_(@_)"/>
    <numFmt numFmtId="167" formatCode="0.0%"/>
    <numFmt numFmtId="168" formatCode="&quot;$&quot;#,##0.0_);\(&quot;$&quot;#,##0.0\)"/>
    <numFmt numFmtId="169" formatCode="&quot;$&quot;#,##0.00"/>
    <numFmt numFmtId="170" formatCode="_(* #,##0_);_(* \(#,##0\);_(* &quot;-&quot;??_);_(@_)"/>
    <numFmt numFmtId="171" formatCode="_(* #,##0.000_);_(* \(#,##0.000\);_(* &quot;-&quot;??_);_(@_)"/>
    <numFmt numFmtId="172" formatCode="_(&quot;$&quot;* #,##0.0_);_(&quot;$&quot;* \(#,##0.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2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9" fontId="0" fillId="0" borderId="0" xfId="2" applyFont="1"/>
    <xf numFmtId="167" fontId="0" fillId="0" borderId="0" xfId="2" applyNumberFormat="1" applyFont="1"/>
    <xf numFmtId="0" fontId="3" fillId="0" borderId="0" xfId="0" applyFont="1"/>
    <xf numFmtId="3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0" fillId="2" borderId="5" xfId="0" applyFill="1" applyBorder="1"/>
    <xf numFmtId="167" fontId="0" fillId="2" borderId="0" xfId="2" applyNumberFormat="1" applyFont="1" applyFill="1" applyBorder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2" borderId="0" xfId="0" applyFont="1" applyFill="1"/>
    <xf numFmtId="164" fontId="0" fillId="2" borderId="0" xfId="0" applyNumberFormat="1" applyFill="1"/>
    <xf numFmtId="167" fontId="0" fillId="2" borderId="8" xfId="2" applyNumberFormat="1" applyFont="1" applyFill="1" applyBorder="1"/>
    <xf numFmtId="0" fontId="2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2" fillId="2" borderId="2" xfId="0" applyFont="1" applyFill="1" applyBorder="1"/>
    <xf numFmtId="164" fontId="0" fillId="2" borderId="3" xfId="0" applyNumberFormat="1" applyFill="1" applyBorder="1"/>
    <xf numFmtId="0" fontId="2" fillId="2" borderId="11" xfId="0" applyFont="1" applyFill="1" applyBorder="1"/>
    <xf numFmtId="167" fontId="0" fillId="2" borderId="12" xfId="2" applyNumberFormat="1" applyFont="1" applyFill="1" applyBorder="1"/>
    <xf numFmtId="167" fontId="0" fillId="2" borderId="3" xfId="2" applyNumberFormat="1" applyFont="1" applyFill="1" applyBorder="1"/>
    <xf numFmtId="0" fontId="2" fillId="2" borderId="4" xfId="0" applyFont="1" applyFill="1" applyBorder="1"/>
    <xf numFmtId="167" fontId="0" fillId="2" borderId="5" xfId="2" applyNumberFormat="1" applyFont="1" applyFill="1" applyBorder="1"/>
    <xf numFmtId="167" fontId="0" fillId="2" borderId="6" xfId="2" applyNumberFormat="1" applyFont="1" applyFill="1" applyBorder="1"/>
    <xf numFmtId="16" fontId="0" fillId="0" borderId="0" xfId="0" applyNumberFormat="1"/>
    <xf numFmtId="4" fontId="0" fillId="0" borderId="0" xfId="2" applyNumberFormat="1" applyFont="1"/>
    <xf numFmtId="4" fontId="0" fillId="0" borderId="0" xfId="0" applyNumberFormat="1"/>
    <xf numFmtId="166" fontId="0" fillId="0" borderId="0" xfId="1" applyNumberFormat="1" applyFont="1"/>
    <xf numFmtId="168" fontId="0" fillId="0" borderId="0" xfId="1" applyNumberFormat="1" applyFont="1"/>
    <xf numFmtId="168" fontId="0" fillId="0" borderId="0" xfId="1" applyNumberFormat="1" applyFont="1" applyAlignment="1">
      <alignment horizontal="center"/>
    </xf>
    <xf numFmtId="7" fontId="0" fillId="0" borderId="0" xfId="1" applyNumberFormat="1" applyFont="1"/>
    <xf numFmtId="166" fontId="2" fillId="2" borderId="0" xfId="1" applyNumberFormat="1" applyFont="1" applyFill="1"/>
    <xf numFmtId="7" fontId="0" fillId="0" borderId="0" xfId="1" applyNumberFormat="1" applyFont="1" applyFill="1" applyBorder="1"/>
    <xf numFmtId="168" fontId="0" fillId="2" borderId="0" xfId="1" applyNumberFormat="1" applyFont="1" applyFill="1"/>
    <xf numFmtId="167" fontId="0" fillId="2" borderId="0" xfId="2" applyNumberFormat="1" applyFont="1" applyFill="1"/>
    <xf numFmtId="166" fontId="0" fillId="2" borderId="0" xfId="1" applyNumberFormat="1" applyFont="1" applyFill="1"/>
    <xf numFmtId="7" fontId="0" fillId="2" borderId="0" xfId="1" applyNumberFormat="1" applyFont="1" applyFill="1"/>
    <xf numFmtId="7" fontId="0" fillId="2" borderId="7" xfId="1" applyNumberFormat="1" applyFont="1" applyFill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7" fontId="0" fillId="0" borderId="0" xfId="1" applyNumberFormat="1" applyFont="1" applyBorder="1"/>
    <xf numFmtId="7" fontId="0" fillId="0" borderId="0" xfId="1" applyNumberFormat="1" applyFont="1" applyFill="1"/>
    <xf numFmtId="168" fontId="0" fillId="0" borderId="0" xfId="0" applyNumberFormat="1"/>
    <xf numFmtId="166" fontId="0" fillId="0" borderId="0" xfId="0" applyNumberFormat="1"/>
    <xf numFmtId="9" fontId="0" fillId="0" borderId="0" xfId="0" applyNumberFormat="1"/>
    <xf numFmtId="0" fontId="2" fillId="0" borderId="0" xfId="0" applyFont="1"/>
    <xf numFmtId="168" fontId="0" fillId="2" borderId="0" xfId="0" applyNumberFormat="1" applyFill="1"/>
    <xf numFmtId="9" fontId="0" fillId="2" borderId="0" xfId="2" applyFont="1" applyFill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7" fontId="0" fillId="5" borderId="7" xfId="1" applyNumberFormat="1" applyFont="1" applyFill="1" applyBorder="1"/>
    <xf numFmtId="9" fontId="0" fillId="5" borderId="7" xfId="2" applyFont="1" applyFill="1" applyBorder="1"/>
    <xf numFmtId="0" fontId="2" fillId="5" borderId="7" xfId="0" applyFont="1" applyFill="1" applyBorder="1"/>
    <xf numFmtId="0" fontId="2" fillId="0" borderId="0" xfId="0" applyFont="1" applyAlignment="1">
      <alignment horizontal="left"/>
    </xf>
    <xf numFmtId="7" fontId="0" fillId="0" borderId="0" xfId="0" applyNumberFormat="1"/>
    <xf numFmtId="7" fontId="0" fillId="2" borderId="0" xfId="0" applyNumberFormat="1" applyFill="1"/>
    <xf numFmtId="7" fontId="0" fillId="2" borderId="7" xfId="0" applyNumberFormat="1" applyFill="1" applyBorder="1"/>
    <xf numFmtId="0" fontId="2" fillId="5" borderId="7" xfId="0" applyFont="1" applyFill="1" applyBorder="1" applyAlignment="1">
      <alignment horizontal="left"/>
    </xf>
    <xf numFmtId="7" fontId="0" fillId="5" borderId="7" xfId="0" applyNumberFormat="1" applyFill="1" applyBorder="1"/>
    <xf numFmtId="164" fontId="0" fillId="0" borderId="0" xfId="0" applyNumberFormat="1"/>
    <xf numFmtId="169" fontId="0" fillId="0" borderId="0" xfId="0" applyNumberFormat="1" applyAlignment="1">
      <alignment horizontal="center"/>
    </xf>
    <xf numFmtId="165" fontId="0" fillId="2" borderId="0" xfId="0" applyNumberFormat="1" applyFill="1"/>
    <xf numFmtId="170" fontId="0" fillId="0" borderId="0" xfId="1" applyNumberFormat="1" applyFont="1"/>
    <xf numFmtId="170" fontId="0" fillId="0" borderId="0" xfId="1" applyNumberFormat="1" applyFont="1" applyAlignment="1">
      <alignment horizontal="center"/>
    </xf>
    <xf numFmtId="170" fontId="0" fillId="0" borderId="0" xfId="1" applyNumberFormat="1" applyFont="1" applyFill="1"/>
    <xf numFmtId="170" fontId="0" fillId="2" borderId="0" xfId="1" applyNumberFormat="1" applyFont="1" applyFill="1"/>
    <xf numFmtId="167" fontId="0" fillId="0" borderId="0" xfId="2" applyNumberFormat="1" applyFont="1" applyAlignment="1">
      <alignment horizontal="center"/>
    </xf>
    <xf numFmtId="171" fontId="0" fillId="0" borderId="0" xfId="1" applyNumberFormat="1" applyFont="1"/>
    <xf numFmtId="170" fontId="0" fillId="0" borderId="0" xfId="0" applyNumberFormat="1"/>
    <xf numFmtId="43" fontId="0" fillId="0" borderId="0" xfId="0" applyNumberFormat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167" fontId="0" fillId="0" borderId="0" xfId="0" applyNumberFormat="1"/>
    <xf numFmtId="0" fontId="0" fillId="2" borderId="4" xfId="0" applyFill="1" applyBorder="1"/>
    <xf numFmtId="0" fontId="0" fillId="2" borderId="6" xfId="0" applyFill="1" applyBorder="1"/>
    <xf numFmtId="167" fontId="0" fillId="2" borderId="0" xfId="2" applyNumberFormat="1" applyFont="1" applyFill="1" applyBorder="1" applyAlignment="1">
      <alignment horizontal="center"/>
    </xf>
    <xf numFmtId="167" fontId="0" fillId="2" borderId="3" xfId="2" applyNumberFormat="1" applyFont="1" applyFill="1" applyBorder="1" applyAlignment="1">
      <alignment horizontal="center"/>
    </xf>
    <xf numFmtId="167" fontId="0" fillId="2" borderId="5" xfId="2" applyNumberFormat="1" applyFont="1" applyFill="1" applyBorder="1" applyAlignment="1">
      <alignment horizontal="center"/>
    </xf>
    <xf numFmtId="167" fontId="0" fillId="2" borderId="6" xfId="2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7" fontId="0" fillId="2" borderId="8" xfId="2" applyNumberFormat="1" applyFont="1" applyFill="1" applyBorder="1" applyAlignment="1">
      <alignment horizontal="center"/>
    </xf>
    <xf numFmtId="167" fontId="0" fillId="2" borderId="12" xfId="2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167" fontId="0" fillId="3" borderId="0" xfId="2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2" fillId="2" borderId="19" xfId="0" applyFont="1" applyFill="1" applyBorder="1"/>
    <xf numFmtId="164" fontId="0" fillId="2" borderId="20" xfId="0" applyNumberFormat="1" applyFill="1" applyBorder="1" applyAlignment="1">
      <alignment horizontal="center"/>
    </xf>
    <xf numFmtId="0" fontId="2" fillId="2" borderId="21" xfId="0" applyFont="1" applyFill="1" applyBorder="1"/>
    <xf numFmtId="167" fontId="0" fillId="2" borderId="7" xfId="2" applyNumberFormat="1" applyFont="1" applyFill="1" applyBorder="1" applyAlignment="1">
      <alignment horizontal="center"/>
    </xf>
    <xf numFmtId="167" fontId="0" fillId="2" borderId="22" xfId="2" applyNumberFormat="1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 applyFill="1" applyBorder="1" applyAlignment="1">
      <alignment horizontal="center"/>
    </xf>
    <xf numFmtId="172" fontId="0" fillId="0" borderId="0" xfId="3" applyNumberFormat="1" applyFont="1"/>
    <xf numFmtId="172" fontId="0" fillId="0" borderId="0" xfId="3" applyNumberFormat="1" applyFont="1" applyAlignment="1">
      <alignment horizontal="center"/>
    </xf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4" fontId="0" fillId="5" borderId="0" xfId="0" applyNumberFormat="1" applyFill="1" applyAlignment="1">
      <alignment horizontal="center"/>
    </xf>
    <xf numFmtId="172" fontId="0" fillId="5" borderId="0" xfId="3" applyNumberFormat="1" applyFont="1" applyFill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Tyson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2025'!$V$5</c:f>
              <c:strCache>
                <c:ptCount val="1"/>
                <c:pt idx="0">
                  <c:v>Tyson Sales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38-4EC2-B2CF-5E11C3501D3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38-4EC2-B2CF-5E11C3501D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38-4EC2-B2CF-5E11C3501D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2025'!$U$6:$U$9</c:f>
              <c:strCache>
                <c:ptCount val="4"/>
                <c:pt idx="0">
                  <c:v>Q4 2024</c:v>
                </c:pt>
                <c:pt idx="1">
                  <c:v>Q4 2025</c:v>
                </c:pt>
                <c:pt idx="2">
                  <c:v>Lst 4 Qtr PY</c:v>
                </c:pt>
                <c:pt idx="3">
                  <c:v>Lst 4 Qtr CY</c:v>
                </c:pt>
              </c:strCache>
            </c:strRef>
          </c:cat>
          <c:val>
            <c:numRef>
              <c:f>'Q4 2025'!$V$6:$V$9</c:f>
              <c:numCache>
                <c:formatCode>"$"#,##0</c:formatCode>
                <c:ptCount val="4"/>
                <c:pt idx="0">
                  <c:v>2473</c:v>
                </c:pt>
                <c:pt idx="1">
                  <c:v>2673</c:v>
                </c:pt>
                <c:pt idx="2">
                  <c:v>9781</c:v>
                </c:pt>
                <c:pt idx="3">
                  <c:v>10130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38-4EC2-B2CF-5E11C3501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Tyson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'Q4 2025'!$W$5</c:f>
              <c:strCache>
                <c:ptCount val="1"/>
                <c:pt idx="0">
                  <c:v>Tyson Op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CD-4831-A068-5DC0F929972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CD-4831-A068-5DC0F92997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CD-4831-A068-5DC0F929972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CD-4831-A068-5DC0F92997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2025'!$U$6:$U$9</c:f>
              <c:strCache>
                <c:ptCount val="4"/>
                <c:pt idx="0">
                  <c:v>Q4 2024</c:v>
                </c:pt>
                <c:pt idx="1">
                  <c:v>Q4 2025</c:v>
                </c:pt>
                <c:pt idx="2">
                  <c:v>Lst 4 Qtr PY</c:v>
                </c:pt>
                <c:pt idx="3">
                  <c:v>Lst 4 Qtr CY</c:v>
                </c:pt>
              </c:strCache>
            </c:strRef>
          </c:cat>
          <c:val>
            <c:numRef>
              <c:f>'Q4 2025'!$W$6:$W$9</c:f>
              <c:numCache>
                <c:formatCode>"$"#,##0</c:formatCode>
                <c:ptCount val="4"/>
                <c:pt idx="0">
                  <c:v>283</c:v>
                </c:pt>
                <c:pt idx="1">
                  <c:v>278</c:v>
                </c:pt>
                <c:pt idx="2">
                  <c:v>1248</c:v>
                </c:pt>
                <c:pt idx="3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CD-4831-A068-5DC0F9299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'Q4 2025'!$V$5</c15:sqref>
                        </c15:formulaRef>
                      </c:ext>
                    </c:extLst>
                    <c:strCache>
                      <c:ptCount val="1"/>
                      <c:pt idx="0">
                        <c:v>Tyson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'Q4 2025'!$U$6:$U$9</c15:sqref>
                        </c15:formulaRef>
                      </c:ext>
                    </c:extLst>
                    <c:strCache>
                      <c:ptCount val="4"/>
                      <c:pt idx="0">
                        <c:v>Q4 2024</c:v>
                      </c:pt>
                      <c:pt idx="1">
                        <c:v>Q4 2025</c:v>
                      </c:pt>
                      <c:pt idx="2">
                        <c:v>Lst 4 Qtr PY</c:v>
                      </c:pt>
                      <c:pt idx="3">
                        <c:v>Lst 4 Qtr CY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'Q4 2025'!$V$6:$V$9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2473</c:v>
                      </c:pt>
                      <c:pt idx="1">
                        <c:v>2673</c:v>
                      </c:pt>
                      <c:pt idx="2">
                        <c:v>9781</c:v>
                      </c:pt>
                      <c:pt idx="3">
                        <c:v>10130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6CD-4831-A068-5DC0F929972B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2025'!$V$25</c:f>
              <c:strCache>
                <c:ptCount val="1"/>
                <c:pt idx="0">
                  <c:v>Smfd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56-424D-A75A-A1801F4F6F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56-424D-A75A-A1801F4F6F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56-424D-A75A-A1801F4F6F2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56-424D-A75A-A1801F4F6F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2025'!$U$26:$U$29</c:f>
              <c:strCache>
                <c:ptCount val="4"/>
                <c:pt idx="0">
                  <c:v>Q4 2024</c:v>
                </c:pt>
                <c:pt idx="1">
                  <c:v>Q4 2025</c:v>
                </c:pt>
                <c:pt idx="2">
                  <c:v>Lst 4 Qtr PY</c:v>
                </c:pt>
                <c:pt idx="3">
                  <c:v>Lst 4 Qtr CY</c:v>
                </c:pt>
              </c:strCache>
            </c:strRef>
          </c:cat>
          <c:val>
            <c:numRef>
              <c:f>'Q4 2025'!$V$26:$V$29</c:f>
              <c:numCache>
                <c:formatCode>"$"#,##0</c:formatCode>
                <c:ptCount val="4"/>
                <c:pt idx="0">
                  <c:v>2458.2723151</c:v>
                </c:pt>
                <c:pt idx="1">
                  <c:v>2563.4938290100004</c:v>
                </c:pt>
                <c:pt idx="2">
                  <c:v>8319.0159017799997</c:v>
                </c:pt>
                <c:pt idx="3">
                  <c:v>8756.3148650100011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56-424D-A75A-A1801F4F6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Hormel </a:t>
            </a: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2025'!$V$15</c:f>
              <c:strCache>
                <c:ptCount val="1"/>
                <c:pt idx="0">
                  <c:v>HRL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B2-4D17-A6A2-A53A22745B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B2-4D17-A6A2-A53A22745B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B2-4D17-A6A2-A53A22745B2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B2-4D17-A6A2-A53A22745B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2025'!$U$16:$U$19</c:f>
              <c:strCache>
                <c:ptCount val="4"/>
                <c:pt idx="0">
                  <c:v>Q424</c:v>
                </c:pt>
                <c:pt idx="1">
                  <c:v>Q425</c:v>
                </c:pt>
                <c:pt idx="2">
                  <c:v>Lst 4 Qtr PY</c:v>
                </c:pt>
                <c:pt idx="3">
                  <c:v>Lst 4 Qtr CY</c:v>
                </c:pt>
              </c:strCache>
            </c:strRef>
          </c:cat>
          <c:val>
            <c:numRef>
              <c:f>'Q4 2025'!$V$16:$V$19</c:f>
              <c:numCache>
                <c:formatCode>"$"#,##0</c:formatCode>
                <c:ptCount val="4"/>
                <c:pt idx="0">
                  <c:v>2820.3180000000002</c:v>
                </c:pt>
                <c:pt idx="1">
                  <c:v>2846.0329999999999</c:v>
                </c:pt>
                <c:pt idx="2">
                  <c:v>11215.227999999999</c:v>
                </c:pt>
                <c:pt idx="3">
                  <c:v>11427.449999999999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B2-4D17-A6A2-A53A22745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Hormel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'Q4 2025'!$W$15</c:f>
              <c:strCache>
                <c:ptCount val="1"/>
                <c:pt idx="0">
                  <c:v>HRL Op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B1-426C-B39F-B82B4218287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B1-426C-B39F-B82B4218287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B1-426C-B39F-B82B4218287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B1-426C-B39F-B82B421828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2025'!$U$16:$U$19</c:f>
              <c:strCache>
                <c:ptCount val="4"/>
                <c:pt idx="0">
                  <c:v>Q424</c:v>
                </c:pt>
                <c:pt idx="1">
                  <c:v>Q425</c:v>
                </c:pt>
                <c:pt idx="2">
                  <c:v>Lst 4 Qtr PY</c:v>
                </c:pt>
                <c:pt idx="3">
                  <c:v>Lst 4 Qtr CY</c:v>
                </c:pt>
              </c:strCache>
            </c:strRef>
          </c:cat>
          <c:val>
            <c:numRef>
              <c:f>'Q4 2025'!$W$16:$W$19</c:f>
              <c:numCache>
                <c:formatCode>"$"#,##0</c:formatCode>
                <c:ptCount val="4"/>
                <c:pt idx="0">
                  <c:v>257.97300000000001</c:v>
                </c:pt>
                <c:pt idx="1">
                  <c:v>252.73099999999999</c:v>
                </c:pt>
                <c:pt idx="2">
                  <c:v>1117.365</c:v>
                </c:pt>
                <c:pt idx="3">
                  <c:v>1045.328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B1-426C-B39F-B82B42182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'Q4 2025'!$V$15</c15:sqref>
                        </c15:formulaRef>
                      </c:ext>
                    </c:extLst>
                    <c:strCache>
                      <c:ptCount val="1"/>
                      <c:pt idx="0">
                        <c:v>HRL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'Q4 2025'!$U$16:$U$19</c15:sqref>
                        </c15:formulaRef>
                      </c:ext>
                    </c:extLst>
                    <c:strCache>
                      <c:ptCount val="4"/>
                      <c:pt idx="0">
                        <c:v>Q424</c:v>
                      </c:pt>
                      <c:pt idx="1">
                        <c:v>Q425</c:v>
                      </c:pt>
                      <c:pt idx="2">
                        <c:v>Lst 4 Qtr PY</c:v>
                      </c:pt>
                      <c:pt idx="3">
                        <c:v>Lst 4 Qtr CY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'Q4 2025'!$V$16:$V$19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2820.3180000000002</c:v>
                      </c:pt>
                      <c:pt idx="1">
                        <c:v>2846.0329999999999</c:v>
                      </c:pt>
                      <c:pt idx="2">
                        <c:v>11215.227999999999</c:v>
                      </c:pt>
                      <c:pt idx="3">
                        <c:v>11427.449999999999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1B1-426C-B39F-B82B42182877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'Q4 2025'!$W$25</c:f>
              <c:strCache>
                <c:ptCount val="1"/>
                <c:pt idx="0">
                  <c:v>Smfd Seg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22-4E69-AA97-D3DCBDF677A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22-4E69-AA97-D3DCBDF677A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22-4E69-AA97-D3DCBDF677A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22-4E69-AA97-D3DCBDF677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2025'!$U$26:$U$29</c:f>
              <c:strCache>
                <c:ptCount val="4"/>
                <c:pt idx="0">
                  <c:v>Q4 2024</c:v>
                </c:pt>
                <c:pt idx="1">
                  <c:v>Q4 2025</c:v>
                </c:pt>
                <c:pt idx="2">
                  <c:v>Lst 4 Qtr PY</c:v>
                </c:pt>
                <c:pt idx="3">
                  <c:v>Lst 4 Qtr CY</c:v>
                </c:pt>
              </c:strCache>
            </c:strRef>
          </c:cat>
          <c:val>
            <c:numRef>
              <c:f>'Q4 2025'!$W$26:$W$29</c:f>
              <c:numCache>
                <c:formatCode>"$"#,##0</c:formatCode>
                <c:ptCount val="4"/>
                <c:pt idx="0">
                  <c:v>313.39504829999998</c:v>
                </c:pt>
                <c:pt idx="1">
                  <c:v>301.66528139999991</c:v>
                </c:pt>
                <c:pt idx="2">
                  <c:v>1129.80652661</c:v>
                </c:pt>
                <c:pt idx="3">
                  <c:v>1089.26695892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22-4E69-AA97-D3DCBDF6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'Q4 2025'!$V$5</c15:sqref>
                        </c15:formulaRef>
                      </c:ext>
                    </c:extLst>
                    <c:strCache>
                      <c:ptCount val="1"/>
                      <c:pt idx="0">
                        <c:v>Tyson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'Q4 2025'!$U$26:$U$29</c15:sqref>
                        </c15:formulaRef>
                      </c:ext>
                    </c:extLst>
                    <c:strCache>
                      <c:ptCount val="4"/>
                      <c:pt idx="0">
                        <c:v>Q4 2024</c:v>
                      </c:pt>
                      <c:pt idx="1">
                        <c:v>Q4 2025</c:v>
                      </c:pt>
                      <c:pt idx="2">
                        <c:v>Lst 4 Qtr PY</c:v>
                      </c:pt>
                      <c:pt idx="3">
                        <c:v>Lst 4 Qtr CY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'Q4 2025'!$V$6:$V$9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2473</c:v>
                      </c:pt>
                      <c:pt idx="1">
                        <c:v>2673</c:v>
                      </c:pt>
                      <c:pt idx="2">
                        <c:v>9781</c:v>
                      </c:pt>
                      <c:pt idx="3">
                        <c:v>10130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622-4E69-AA97-D3DCBDF677A1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 (Spec)'!$P$6</c:f>
              <c:strCache>
                <c:ptCount val="1"/>
                <c:pt idx="0">
                  <c:v>Tyson Sales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46-4511-82E7-464EEFE222B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46-4511-82E7-464EEFE222B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46-4511-82E7-464EEFE222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(Spec)'!$O$7:$O$12</c:f>
              <c:strCache>
                <c:ptCount val="6"/>
                <c:pt idx="0">
                  <c:v> TYS Q2 21</c:v>
                </c:pt>
                <c:pt idx="1">
                  <c:v>TYS Q2 22</c:v>
                </c:pt>
                <c:pt idx="2">
                  <c:v>HML Q2 21</c:v>
                </c:pt>
                <c:pt idx="3">
                  <c:v>HML Q2 22</c:v>
                </c:pt>
                <c:pt idx="4">
                  <c:v>SFD Q2 21</c:v>
                </c:pt>
                <c:pt idx="5">
                  <c:v>SFD Q2 22</c:v>
                </c:pt>
              </c:strCache>
            </c:strRef>
          </c:cat>
          <c:val>
            <c:numRef>
              <c:f>'Q2 2022 (Spec)'!$P$7:$P$12</c:f>
              <c:numCache>
                <c:formatCode>"$"#,##0</c:formatCode>
                <c:ptCount val="6"/>
                <c:pt idx="0">
                  <c:v>4038</c:v>
                </c:pt>
                <c:pt idx="1">
                  <c:v>4066</c:v>
                </c:pt>
                <c:pt idx="2">
                  <c:v>1624.6410000000001</c:v>
                </c:pt>
                <c:pt idx="3">
                  <c:v>1660.2570000000001</c:v>
                </c:pt>
                <c:pt idx="4">
                  <c:v>1956.5</c:v>
                </c:pt>
                <c:pt idx="5">
                  <c:v>2196.3000000000002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46-4511-82E7-464EEFE22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Tyson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'Q2 2022 (Spec)'!$Q$6</c:f>
              <c:strCache>
                <c:ptCount val="1"/>
                <c:pt idx="0">
                  <c:v>Tyson Op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34-44BE-86B4-6581B7AEE6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34-44BE-86B4-6581B7AEE6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34-44BE-86B4-6581B7AEE6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34-44BE-86B4-6581B7AEE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(Spec)'!$O$7:$O$12</c:f>
              <c:strCache>
                <c:ptCount val="6"/>
                <c:pt idx="0">
                  <c:v> TYS Q2 21</c:v>
                </c:pt>
                <c:pt idx="1">
                  <c:v>TYS Q2 22</c:v>
                </c:pt>
                <c:pt idx="2">
                  <c:v>HML Q2 21</c:v>
                </c:pt>
                <c:pt idx="3">
                  <c:v>HML Q2 22</c:v>
                </c:pt>
                <c:pt idx="4">
                  <c:v>SFD Q2 21</c:v>
                </c:pt>
                <c:pt idx="5">
                  <c:v>SFD Q2 22</c:v>
                </c:pt>
              </c:strCache>
            </c:strRef>
          </c:cat>
          <c:val>
            <c:numRef>
              <c:f>'Q2 2022 (Spec)'!$Q$7:$Q$12</c:f>
              <c:numCache>
                <c:formatCode>"$"#,##0</c:formatCode>
                <c:ptCount val="6"/>
                <c:pt idx="0">
                  <c:v>217</c:v>
                </c:pt>
                <c:pt idx="1">
                  <c:v>211</c:v>
                </c:pt>
                <c:pt idx="2">
                  <c:v>153.21600000000001</c:v>
                </c:pt>
                <c:pt idx="3">
                  <c:v>177.10900000000001</c:v>
                </c:pt>
                <c:pt idx="4">
                  <c:v>163.5</c:v>
                </c:pt>
                <c:pt idx="5">
                  <c:v>235.7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4-44BE-86B4-6581B7AE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 (Spec)'!$P$6</c15:sqref>
                        </c15:formulaRef>
                      </c:ext>
                    </c:extLst>
                    <c:strCache>
                      <c:ptCount val="1"/>
                      <c:pt idx="0">
                        <c:v>Tyson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'Q2 2022 (Spec)'!$O$7:$O$12</c15:sqref>
                        </c15:formulaRef>
                      </c:ext>
                    </c:extLst>
                    <c:strCache>
                      <c:ptCount val="6"/>
                      <c:pt idx="0">
                        <c:v> TYS Q2 21</c:v>
                      </c:pt>
                      <c:pt idx="1">
                        <c:v>TYS Q2 22</c:v>
                      </c:pt>
                      <c:pt idx="2">
                        <c:v>HML Q2 21</c:v>
                      </c:pt>
                      <c:pt idx="3">
                        <c:v>HML Q2 22</c:v>
                      </c:pt>
                      <c:pt idx="4">
                        <c:v>SFD Q2 21</c:v>
                      </c:pt>
                      <c:pt idx="5">
                        <c:v>SFD Q2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 (Spec)'!$P$7:$P$10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4038</c:v>
                      </c:pt>
                      <c:pt idx="1">
                        <c:v>4066</c:v>
                      </c:pt>
                      <c:pt idx="2">
                        <c:v>1624.6410000000001</c:v>
                      </c:pt>
                      <c:pt idx="3">
                        <c:v>1660.2570000000001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934-44BE-86B4-6581B7AEE668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 (Spec)'!$P$40</c:f>
              <c:strCache>
                <c:ptCount val="1"/>
                <c:pt idx="0">
                  <c:v>Smfd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8C-429D-BA6C-4480876D7C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8C-429D-BA6C-4480876D7C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8C-429D-BA6C-4480876D7C1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28C-429D-BA6C-4480876D7C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(Spec)'!$O$41:$O$44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(Spec)'!$P$41:$P$44</c:f>
              <c:numCache>
                <c:formatCode>"$"#,##0</c:formatCode>
                <c:ptCount val="4"/>
                <c:pt idx="0">
                  <c:v>3717.2719999999999</c:v>
                </c:pt>
                <c:pt idx="1">
                  <c:v>3743.2000000000007</c:v>
                </c:pt>
                <c:pt idx="2">
                  <c:v>10746.099</c:v>
                </c:pt>
                <c:pt idx="3">
                  <c:v>11240.328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8C-429D-BA6C-4480876D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'Q2 2022 (Spec)'!$Q$40</c:f>
              <c:strCache>
                <c:ptCount val="1"/>
                <c:pt idx="0">
                  <c:v>Smfd Seg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F1-4D9F-BE6C-98B658442A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F1-4D9F-BE6C-98B658442A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5-E5F1-4D9F-BE6C-98B658442A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F1-4D9F-BE6C-98B658442A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(Spec)'!$O$41:$O$44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(Spec)'!$Q$41:$Q$44</c:f>
              <c:numCache>
                <c:formatCode>"$"#,##0</c:formatCode>
                <c:ptCount val="4"/>
                <c:pt idx="0">
                  <c:v>192.54900000000001</c:v>
                </c:pt>
                <c:pt idx="1">
                  <c:v>293.59999999999997</c:v>
                </c:pt>
                <c:pt idx="2">
                  <c:v>381.18799999999999</c:v>
                </c:pt>
                <c:pt idx="3">
                  <c:v>1026.8999999999999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E5F1-4D9F-BE6C-98B658442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 (Spec)'!$P$40</c15:sqref>
                        </c15:formulaRef>
                      </c:ext>
                    </c:extLst>
                    <c:strCache>
                      <c:ptCount val="1"/>
                      <c:pt idx="0">
                        <c:v>Smfd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Pt>
                  <c:idx val="2"/>
                  <c:invertIfNegative val="0"/>
                  <c:bubble3D val="0"/>
                  <c:spPr>
                    <a:solidFill>
                      <a:schemeClr val="tx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E5F1-4D9F-BE6C-98B658442AE9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'Q2 2022 (Spec)'!$O$41:$O$44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 (Spec)'!$P$41:$P$44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3717.2719999999999</c:v>
                      </c:pt>
                      <c:pt idx="1">
                        <c:v>3743.2000000000007</c:v>
                      </c:pt>
                      <c:pt idx="2">
                        <c:v>10746.099</c:v>
                      </c:pt>
                      <c:pt idx="3">
                        <c:v>11240.328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E5F1-4D9F-BE6C-98B658442AE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 (Spec)'!$R$40</c15:sqref>
                        </c15:formulaRef>
                      </c:ext>
                    </c:extLst>
                    <c:strCache>
                      <c:ptCount val="1"/>
                      <c:pt idx="0">
                        <c:v>Smfd Op Prof</c:v>
                      </c:pt>
                    </c:strCache>
                  </c:strRef>
                </c:tx>
                <c:spPr>
                  <a:solidFill>
                    <a:schemeClr val="accent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E5F1-4D9F-BE6C-98B658442AE9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E5F1-4D9F-BE6C-98B658442AE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 (Spec)'!$O$41:$O$44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 (Spec)'!$R$41:$R$44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5F1-4D9F-BE6C-98B658442AE9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Hormel</a:t>
            </a:r>
            <a:r>
              <a:rPr lang="en-US" baseline="0"/>
              <a:t> </a:t>
            </a: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 (Spec)'!$P$23</c:f>
              <c:strCache>
                <c:ptCount val="1"/>
                <c:pt idx="0">
                  <c:v>Hormel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D-4BD4-BE6E-DCFE54C1298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2D-4BD4-BE6E-DCFE54C1298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2D-4BD4-BE6E-DCFE54C1298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2D-4BD4-BE6E-DCFE54C129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(Spec)'!$O$24:$O$27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(Spec)'!$P$24:$P$27</c:f>
              <c:numCache>
                <c:formatCode>"$"#,##0</c:formatCode>
                <c:ptCount val="4"/>
                <c:pt idx="0">
                  <c:v>141.15651904484699</c:v>
                </c:pt>
                <c:pt idx="1">
                  <c:v>2127.4864943421098</c:v>
                </c:pt>
                <c:pt idx="2">
                  <c:v>5728.6087656529699</c:v>
                </c:pt>
                <c:pt idx="3">
                  <c:v>6149.1163771048195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2D-4BD4-BE6E-DCFE54C12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Hormel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'Q2 2022 (Spec)'!$Q$23</c:f>
              <c:strCache>
                <c:ptCount val="1"/>
                <c:pt idx="0">
                  <c:v>Hormel Op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D1-469C-A5F8-4EB457251B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D1-469C-A5F8-4EB457251B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D1-469C-A5F8-4EB457251B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D1-469C-A5F8-4EB457251B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(Spec)'!$O$24:$O$27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(Spec)'!$Q$24:$Q$27</c:f>
              <c:numCache>
                <c:formatCode>"$"#,##0</c:formatCode>
                <c:ptCount val="4"/>
                <c:pt idx="0">
                  <c:v>170.17560081888999</c:v>
                </c:pt>
                <c:pt idx="1">
                  <c:v>0</c:v>
                </c:pt>
                <c:pt idx="2">
                  <c:v>555.89990545117803</c:v>
                </c:pt>
                <c:pt idx="3">
                  <c:v>579.44621131095664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D1-469C-A5F8-4EB457251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 (Spec)'!$P$23</c15:sqref>
                        </c15:formulaRef>
                      </c:ext>
                    </c:extLst>
                    <c:strCache>
                      <c:ptCount val="1"/>
                      <c:pt idx="0">
                        <c:v>Hormel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'Q2 2022 (Spec)'!$O$24:$O$27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 (Spec)'!$P$24:$P$27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141.15651904484699</c:v>
                      </c:pt>
                      <c:pt idx="1">
                        <c:v>2127.4864943421098</c:v>
                      </c:pt>
                      <c:pt idx="2">
                        <c:v>5728.6087656529699</c:v>
                      </c:pt>
                      <c:pt idx="3">
                        <c:v>6149.1163771048195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DD1-469C-A5F8-4EB457251BF7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 (HML)'!$P$5</c:f>
              <c:strCache>
                <c:ptCount val="1"/>
                <c:pt idx="0">
                  <c:v>Tyson Sales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E3-4856-87B1-B6C88EC54D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E3-4856-87B1-B6C88EC54D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E3-4856-87B1-B6C88EC54D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(HML)'!$O$6:$O$9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(HML)'!$P$6:$P$9</c:f>
              <c:numCache>
                <c:formatCode>"$"#,##0</c:formatCode>
                <c:ptCount val="4"/>
                <c:pt idx="0">
                  <c:v>4038</c:v>
                </c:pt>
                <c:pt idx="1">
                  <c:v>4066</c:v>
                </c:pt>
                <c:pt idx="2">
                  <c:v>8315</c:v>
                </c:pt>
                <c:pt idx="3">
                  <c:v>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E3-4856-87B1-B6C88EC54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Tyson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'Q2 2022 (HML)'!$Q$5</c:f>
              <c:strCache>
                <c:ptCount val="1"/>
                <c:pt idx="0">
                  <c:v>Tyson Op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A0-4F43-9460-C5726F6EE5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A0-4F43-9460-C5726F6EE5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A0-4F43-9460-C5726F6EE5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A0-4F43-9460-C5726F6EE5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(HML)'!$O$6:$O$9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(HML)'!$Q$6:$Q$9</c:f>
              <c:numCache>
                <c:formatCode>"$"#,##0</c:formatCode>
                <c:ptCount val="4"/>
                <c:pt idx="0">
                  <c:v>217</c:v>
                </c:pt>
                <c:pt idx="1">
                  <c:v>211</c:v>
                </c:pt>
                <c:pt idx="2">
                  <c:v>700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A0-4F43-9460-C5726F6EE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 (HML)'!$P$5</c15:sqref>
                        </c15:formulaRef>
                      </c:ext>
                    </c:extLst>
                    <c:strCache>
                      <c:ptCount val="1"/>
                      <c:pt idx="0">
                        <c:v>Tyson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'Q2 2022 (HML)'!$O$6:$O$9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 (HML)'!$P$6:$P$9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4038</c:v>
                      </c:pt>
                      <c:pt idx="1">
                        <c:v>4066</c:v>
                      </c:pt>
                      <c:pt idx="2">
                        <c:v>8315</c:v>
                      </c:pt>
                      <c:pt idx="3">
                        <c:v>8792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0A0-4F43-9460-C5726F6EE553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 (HML)'!$P$31</c:f>
              <c:strCache>
                <c:ptCount val="1"/>
                <c:pt idx="0">
                  <c:v>Smfd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BA-442C-80B0-D1B674B28B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BA-442C-80B0-D1B674B28B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BA-442C-80B0-D1B674B28B7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BA-442C-80B0-D1B674B28B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(HML)'!$O$32:$O$35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(HML)'!$P$32:$P$35</c:f>
              <c:numCache>
                <c:formatCode>"$"#,##0</c:formatCode>
                <c:ptCount val="4"/>
                <c:pt idx="0">
                  <c:v>3717.2719999999999</c:v>
                </c:pt>
                <c:pt idx="1">
                  <c:v>3743.2000000000007</c:v>
                </c:pt>
                <c:pt idx="2">
                  <c:v>10746.099</c:v>
                </c:pt>
                <c:pt idx="3">
                  <c:v>11240.328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BA-442C-80B0-D1B674B28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'Q2 2022 (HML)'!$Q$31</c:f>
              <c:strCache>
                <c:ptCount val="1"/>
                <c:pt idx="0">
                  <c:v>Smfd Seg Prof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68-4DBB-B5F4-AC05D76B81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68-4DBB-B5F4-AC05D76B816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9-A03E-401C-B745-94FBD0D1516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368-4DBB-B5F4-AC05D76B81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(HML)'!$O$32:$O$35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  <c:extLst xmlns:c15="http://schemas.microsoft.com/office/drawing/2012/chart"/>
            </c:strRef>
          </c:cat>
          <c:val>
            <c:numRef>
              <c:f>'Q2 2022 (HML)'!$Q$32:$Q$35</c:f>
              <c:numCache>
                <c:formatCode>"$"#,##0</c:formatCode>
                <c:ptCount val="4"/>
                <c:pt idx="0">
                  <c:v>192.54900000000001</c:v>
                </c:pt>
                <c:pt idx="1">
                  <c:v>293.59999999999997</c:v>
                </c:pt>
                <c:pt idx="2">
                  <c:v>381.18799999999999</c:v>
                </c:pt>
                <c:pt idx="3">
                  <c:v>1026.8999999999999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A03E-401C-B745-94FBD0D15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 (HML)'!$P$31</c15:sqref>
                        </c15:formulaRef>
                      </c:ext>
                    </c:extLst>
                    <c:strCache>
                      <c:ptCount val="1"/>
                      <c:pt idx="0">
                        <c:v>Smfd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Pt>
                  <c:idx val="2"/>
                  <c:invertIfNegative val="0"/>
                  <c:bubble3D val="0"/>
                  <c:spPr>
                    <a:solidFill>
                      <a:schemeClr val="tx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A03E-401C-B745-94FBD0D15160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'Q2 2022 (HML)'!$O$32:$O$35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 (HML)'!$P$32:$P$35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3717.2719999999999</c:v>
                      </c:pt>
                      <c:pt idx="1">
                        <c:v>3743.2000000000007</c:v>
                      </c:pt>
                      <c:pt idx="2">
                        <c:v>10746.099</c:v>
                      </c:pt>
                      <c:pt idx="3">
                        <c:v>11240.328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03E-401C-B745-94FBD0D1516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 (HML)'!$R$31</c15:sqref>
                        </c15:formulaRef>
                      </c:ext>
                    </c:extLst>
                    <c:strCache>
                      <c:ptCount val="1"/>
                      <c:pt idx="0">
                        <c:v>Smfd Op Prof</c:v>
                      </c:pt>
                    </c:strCache>
                  </c:strRef>
                </c:tx>
                <c:spPr>
                  <a:solidFill>
                    <a:schemeClr val="accent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A03E-401C-B745-94FBD0D15160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A03E-401C-B745-94FBD0D15160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 (HML)'!$O$32:$O$35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 (HML)'!$R$32:$R$35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03E-401C-B745-94FBD0D15160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Hormel</a:t>
            </a:r>
            <a:r>
              <a:rPr lang="en-US" baseline="0"/>
              <a:t> </a:t>
            </a: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 (HML)'!$P$18</c:f>
              <c:strCache>
                <c:ptCount val="1"/>
                <c:pt idx="0">
                  <c:v>Hormel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2D8-4F1C-9D2C-3EF50DCD99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D8-4F1C-9D2C-3EF50DCD99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D8-4F1C-9D2C-3EF50DCD99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D8-4F1C-9D2C-3EF50DCD99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(HML)'!$O$19:$O$22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(HML)'!$P$19:$P$22</c:f>
              <c:numCache>
                <c:formatCode>"$"#,##0</c:formatCode>
                <c:ptCount val="4"/>
                <c:pt idx="0">
                  <c:v>141.15651904484699</c:v>
                </c:pt>
                <c:pt idx="1">
                  <c:v>2127.4864943421098</c:v>
                </c:pt>
                <c:pt idx="2">
                  <c:v>5728.6087656529699</c:v>
                </c:pt>
                <c:pt idx="3">
                  <c:v>6149.1163771048195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D8-4F1C-9D2C-3EF50DCD9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Hormel Segment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'Q2 2022 (HML)'!$Q$18</c:f>
              <c:strCache>
                <c:ptCount val="1"/>
                <c:pt idx="0">
                  <c:v>Hormel Op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C8-4FC9-B8A0-B3A8CD6E5B3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C8-4FC9-B8A0-B3A8CD6E5B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C8-4FC9-B8A0-B3A8CD6E5B3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C8-4FC9-B8A0-B3A8CD6E5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 (HML)'!$O$19:$O$22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 (HML)'!$Q$19:$Q$22</c:f>
              <c:numCache>
                <c:formatCode>"$"#,##0</c:formatCode>
                <c:ptCount val="4"/>
                <c:pt idx="0">
                  <c:v>170.17560081888999</c:v>
                </c:pt>
                <c:pt idx="1">
                  <c:v>0</c:v>
                </c:pt>
                <c:pt idx="2">
                  <c:v>555.89990545117803</c:v>
                </c:pt>
                <c:pt idx="3">
                  <c:v>579.44621131095664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C8-4FC9-B8A0-B3A8CD6E5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 (HML)'!$P$18</c15:sqref>
                        </c15:formulaRef>
                      </c:ext>
                    </c:extLst>
                    <c:strCache>
                      <c:ptCount val="1"/>
                      <c:pt idx="0">
                        <c:v>Hormel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'Q2 2022 (HML)'!$O$19:$O$22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 (HML)'!$P$19:$P$22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141.15651904484699</c:v>
                      </c:pt>
                      <c:pt idx="1">
                        <c:v>2127.4864943421098</c:v>
                      </c:pt>
                      <c:pt idx="2">
                        <c:v>5728.6087656529699</c:v>
                      </c:pt>
                      <c:pt idx="3">
                        <c:v>6149.1163771048195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CC8-4FC9-B8A0-B3A8CD6E5B34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2022'!$P$6</c:f>
              <c:strCache>
                <c:ptCount val="1"/>
                <c:pt idx="0">
                  <c:v>Tyson Sales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85-4984-8D8D-F829AB948D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85-4984-8D8D-F829AB948DD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B85-4984-8D8D-F829AB948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2022'!$O$7:$O$10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2022'!$P$7:$P$10</c:f>
              <c:numCache>
                <c:formatCode>"$"#,##0</c:formatCode>
                <c:ptCount val="4"/>
                <c:pt idx="0">
                  <c:v>4038</c:v>
                </c:pt>
                <c:pt idx="1">
                  <c:v>4066</c:v>
                </c:pt>
                <c:pt idx="2">
                  <c:v>8315</c:v>
                </c:pt>
                <c:pt idx="3">
                  <c:v>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46-4FA3-8D46-3C8873643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Tyson Operating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'Q2 2022'!$Q$6</c:f>
              <c:strCache>
                <c:ptCount val="1"/>
                <c:pt idx="0">
                  <c:v>Tyson Op Prof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A0-4456-8249-787334615C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38B-4F96-9998-367B4B6D5B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0-4456-8249-787334615CB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8B-4F96-9998-367B4B6D5B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2022'!$O$7:$O$10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2022'!$Q$7:$Q$10</c:f>
              <c:numCache>
                <c:formatCode>"$"#,##0</c:formatCode>
                <c:ptCount val="4"/>
                <c:pt idx="0">
                  <c:v>217</c:v>
                </c:pt>
                <c:pt idx="1">
                  <c:v>211</c:v>
                </c:pt>
                <c:pt idx="2">
                  <c:v>700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A0-4456-8249-787334615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2022'!$P$6</c15:sqref>
                        </c15:formulaRef>
                      </c:ext>
                    </c:extLst>
                    <c:strCache>
                      <c:ptCount val="1"/>
                      <c:pt idx="0">
                        <c:v>Tyson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'Q2 2022'!$O$7:$O$10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2022'!$P$7:$P$10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4038</c:v>
                      </c:pt>
                      <c:pt idx="1">
                        <c:v>4066</c:v>
                      </c:pt>
                      <c:pt idx="2">
                        <c:v>8315</c:v>
                      </c:pt>
                      <c:pt idx="3">
                        <c:v>8792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9A0-4456-8249-787334615CB3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2022'!$P$23</c:f>
              <c:strCache>
                <c:ptCount val="1"/>
                <c:pt idx="0">
                  <c:v>Smfd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38-4716-AC78-4910F4909A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D38-4716-AC78-4910F4909A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5B-4738-98E0-53D06A193B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38-4716-AC78-4910F4909A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2022'!$O$24:$O$27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2022'!$P$24:$P$27</c:f>
              <c:numCache>
                <c:formatCode>"$"#,##0</c:formatCode>
                <c:ptCount val="4"/>
                <c:pt idx="0">
                  <c:v>3717.2719999999999</c:v>
                </c:pt>
                <c:pt idx="1">
                  <c:v>3743.2000000000007</c:v>
                </c:pt>
                <c:pt idx="2">
                  <c:v>10746.099</c:v>
                </c:pt>
                <c:pt idx="3">
                  <c:v>11240.328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5B-4738-98E0-53D06A19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Smithfield Operating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'Q2 2022'!$R$23</c:f>
              <c:strCache>
                <c:ptCount val="1"/>
                <c:pt idx="0">
                  <c:v>Smfd Op Prof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78-4861-B07D-9FA6156CC0A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01-4C58-A9CD-7CDC232AE7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2022'!$O$24:$O$27</c:f>
              <c:strCache>
                <c:ptCount val="4"/>
                <c:pt idx="0">
                  <c:v>Q2 2021</c:v>
                </c:pt>
                <c:pt idx="1">
                  <c:v>Q2 2022</c:v>
                </c:pt>
                <c:pt idx="2">
                  <c:v>Lst 3 Qtr 21</c:v>
                </c:pt>
                <c:pt idx="3">
                  <c:v>Lst 3 Qtr 22</c:v>
                </c:pt>
              </c:strCache>
            </c:strRef>
          </c:cat>
          <c:val>
            <c:numRef>
              <c:f>'Q2 2022'!$R$24:$R$27</c:f>
              <c:numCache>
                <c:formatCode>"$"#,##0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01-4C58-A9CD-7CDC232AE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2022'!$P$23</c15:sqref>
                        </c15:formulaRef>
                      </c:ext>
                    </c:extLst>
                    <c:strCache>
                      <c:ptCount val="1"/>
                      <c:pt idx="0">
                        <c:v>Smfd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Pt>
                  <c:idx val="2"/>
                  <c:invertIfNegative val="0"/>
                  <c:bubble3D val="0"/>
                  <c:spPr>
                    <a:solidFill>
                      <a:schemeClr val="tx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FE01-4C58-A9CD-7CDC232AE7BB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'Q2 2022'!$O$24:$O$27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 2022'!$P$24:$P$27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3717.2719999999999</c:v>
                      </c:pt>
                      <c:pt idx="1">
                        <c:v>3743.2000000000007</c:v>
                      </c:pt>
                      <c:pt idx="2">
                        <c:v>10746.099</c:v>
                      </c:pt>
                      <c:pt idx="3">
                        <c:v>11240.328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FE01-4C58-A9CD-7CDC232AE7B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2022'!$Q$23</c15:sqref>
                        </c15:formulaRef>
                      </c:ext>
                    </c:extLst>
                    <c:strCache>
                      <c:ptCount val="1"/>
                      <c:pt idx="0">
                        <c:v>Smfd Seg Prof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2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E01-4C58-A9CD-7CDC232AE7B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2022'!$O$24:$O$27</c15:sqref>
                        </c15:formulaRef>
                      </c:ext>
                    </c:extLst>
                    <c:strCache>
                      <c:ptCount val="4"/>
                      <c:pt idx="0">
                        <c:v>Q2 2021</c:v>
                      </c:pt>
                      <c:pt idx="1">
                        <c:v>Q2 2022</c:v>
                      </c:pt>
                      <c:pt idx="2">
                        <c:v>Lst 3 Qtr 21</c:v>
                      </c:pt>
                      <c:pt idx="3">
                        <c:v>Lst 3 Qtr 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'Q2 2022'!$Q$24:$Q$27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192.54900000000001</c:v>
                      </c:pt>
                      <c:pt idx="1">
                        <c:v>293.59999999999997</c:v>
                      </c:pt>
                      <c:pt idx="2">
                        <c:v>381.18799999999999</c:v>
                      </c:pt>
                      <c:pt idx="3">
                        <c:v>1026.8999999999999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E01-4C58-A9CD-7CDC232AE7BB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2022'!$P$6</c:f>
              <c:strCache>
                <c:ptCount val="1"/>
                <c:pt idx="0">
                  <c:v>Tyson Sales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A3-420C-BF8A-6C4E664E1E1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A3-420C-BF8A-6C4E664E1E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2022'!$O$7:$O$10</c:f>
              <c:strCache>
                <c:ptCount val="4"/>
                <c:pt idx="0">
                  <c:v>Q1 2021</c:v>
                </c:pt>
                <c:pt idx="1">
                  <c:v>Q1 2022</c:v>
                </c:pt>
                <c:pt idx="2">
                  <c:v>Q4&amp;Q1 2021</c:v>
                </c:pt>
                <c:pt idx="3">
                  <c:v>Q4&amp;Q1 2022</c:v>
                </c:pt>
              </c:strCache>
            </c:strRef>
          </c:cat>
          <c:val>
            <c:numRef>
              <c:f>'Q1 2022'!$P$7:$P$10</c:f>
              <c:numCache>
                <c:formatCode>"$"#,##0</c:formatCode>
                <c:ptCount val="4"/>
                <c:pt idx="0">
                  <c:v>2164</c:v>
                </c:pt>
                <c:pt idx="1">
                  <c:v>2393</c:v>
                </c:pt>
                <c:pt idx="2">
                  <c:v>4277</c:v>
                </c:pt>
                <c:pt idx="3">
                  <c:v>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3-420C-BF8A-6C4E664E1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'Q1 2022'!$Q$6</c:f>
              <c:strCache>
                <c:ptCount val="1"/>
                <c:pt idx="0">
                  <c:v>Tyson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1-4D24-AE14-A10DD0E073C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1-4D24-AE14-A10DD0E073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11-4D24-AE14-A10DD0E073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11-4D24-AE14-A10DD0E073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2022'!$O$7:$O$10</c:f>
              <c:strCache>
                <c:ptCount val="4"/>
                <c:pt idx="0">
                  <c:v>Q1 2021</c:v>
                </c:pt>
                <c:pt idx="1">
                  <c:v>Q1 2022</c:v>
                </c:pt>
                <c:pt idx="2">
                  <c:v>Q4&amp;Q1 2021</c:v>
                </c:pt>
                <c:pt idx="3">
                  <c:v>Q4&amp;Q1 2022</c:v>
                </c:pt>
              </c:strCache>
            </c:strRef>
          </c:cat>
          <c:val>
            <c:numRef>
              <c:f>'Q1 2022'!$Q$7:$Q$10</c:f>
              <c:numCache>
                <c:formatCode>"$"#,##0</c:formatCode>
                <c:ptCount val="4"/>
                <c:pt idx="0">
                  <c:v>217</c:v>
                </c:pt>
                <c:pt idx="1">
                  <c:v>263</c:v>
                </c:pt>
                <c:pt idx="2">
                  <c:v>483</c:v>
                </c:pt>
                <c:pt idx="3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1-4D24-AE14-A10DD0E07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 2022'!$P$6</c15:sqref>
                        </c15:formulaRef>
                      </c:ext>
                    </c:extLst>
                    <c:strCache>
                      <c:ptCount val="1"/>
                      <c:pt idx="0">
                        <c:v>Tyson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'Q1 2022'!$O$7:$O$10</c15:sqref>
                        </c15:formulaRef>
                      </c:ext>
                    </c:extLst>
                    <c:strCache>
                      <c:ptCount val="4"/>
                      <c:pt idx="0">
                        <c:v>Q1 2021</c:v>
                      </c:pt>
                      <c:pt idx="1">
                        <c:v>Q1 2022</c:v>
                      </c:pt>
                      <c:pt idx="2">
                        <c:v>Q4&amp;Q1 2021</c:v>
                      </c:pt>
                      <c:pt idx="3">
                        <c:v>Q4&amp;Q1 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'Q1 2022'!$P$7:$P$10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2164</c:v>
                      </c:pt>
                      <c:pt idx="1">
                        <c:v>2393</c:v>
                      </c:pt>
                      <c:pt idx="2">
                        <c:v>4277</c:v>
                      </c:pt>
                      <c:pt idx="3">
                        <c:v>4726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711-4D24-AE14-A10DD0E073C8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2022'!$P$23</c:f>
              <c:strCache>
                <c:ptCount val="1"/>
                <c:pt idx="0">
                  <c:v>Smithfield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7D6-43B2-86CE-24C6958594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6-43B2-86CE-24C69585940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6-43B2-86CE-24C69585940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6-43B2-86CE-24C6958594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2022'!$O$26:$O$29</c:f>
              <c:strCache>
                <c:ptCount val="4"/>
                <c:pt idx="0">
                  <c:v>Q1 2021</c:v>
                </c:pt>
                <c:pt idx="1">
                  <c:v>Q1 2022</c:v>
                </c:pt>
                <c:pt idx="2">
                  <c:v>Q4&amp;Q1 2021</c:v>
                </c:pt>
                <c:pt idx="3">
                  <c:v>Q4&amp;Q1 2022</c:v>
                </c:pt>
              </c:strCache>
            </c:strRef>
          </c:cat>
          <c:val>
            <c:numRef>
              <c:f>'Q1 2022'!$P$26:$P$29</c:f>
              <c:numCache>
                <c:formatCode>"$"#,##0</c:formatCode>
                <c:ptCount val="4"/>
                <c:pt idx="0">
                  <c:v>1916.5</c:v>
                </c:pt>
                <c:pt idx="1">
                  <c:v>2232.8000000000002</c:v>
                </c:pt>
                <c:pt idx="2">
                  <c:v>4088.2</c:v>
                </c:pt>
                <c:pt idx="3">
                  <c:v>4798.1000000000004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D6-43B2-86CE-24C695859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77328"/>
        <c:axId val="422811696"/>
      </c:barChart>
      <c:catAx>
        <c:axId val="1078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1696"/>
        <c:crosses val="autoZero"/>
        <c:auto val="1"/>
        <c:lblAlgn val="ctr"/>
        <c:lblOffset val="100"/>
        <c:noMultiLvlLbl val="0"/>
      </c:catAx>
      <c:valAx>
        <c:axId val="422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'Q1 2022'!$R$23</c:f>
              <c:strCache>
                <c:ptCount val="1"/>
                <c:pt idx="0">
                  <c:v>Smithfield Operating Profit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DEB-4621-BD8F-71A5D17AAE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EB-4621-BD8F-71A5D17AAE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2022'!$O$26:$O$29</c:f>
              <c:strCache>
                <c:ptCount val="4"/>
                <c:pt idx="0">
                  <c:v>Q1 2021</c:v>
                </c:pt>
                <c:pt idx="1">
                  <c:v>Q1 2022</c:v>
                </c:pt>
                <c:pt idx="2">
                  <c:v>Q4&amp;Q1 2021</c:v>
                </c:pt>
                <c:pt idx="3">
                  <c:v>Q4&amp;Q1 2022</c:v>
                </c:pt>
              </c:strCache>
            </c:strRef>
          </c:cat>
          <c:val>
            <c:numRef>
              <c:f>'Q1 2022'!$R$26:$R$29</c:f>
              <c:numCache>
                <c:formatCode>"$"#,##0</c:formatCode>
                <c:ptCount val="4"/>
                <c:pt idx="0">
                  <c:v>188.6</c:v>
                </c:pt>
                <c:pt idx="1">
                  <c:v>300.60000000000002</c:v>
                </c:pt>
                <c:pt idx="2">
                  <c:v>351.1</c:v>
                </c:pt>
                <c:pt idx="3">
                  <c:v>659.8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DEB-4621-BD8F-71A5D17AA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355472"/>
        <c:axId val="1164355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 2022'!$P$23</c15:sqref>
                        </c15:formulaRef>
                      </c:ext>
                    </c:extLst>
                    <c:strCache>
                      <c:ptCount val="1"/>
                      <c:pt idx="0">
                        <c:v>Smithfield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tx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DDEB-4621-BD8F-71A5D17AAE1F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DDEB-4621-BD8F-71A5D17AAE1F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DDEB-4621-BD8F-71A5D17AAE1F}"/>
                    </c:ext>
                  </c:extLst>
                </c:dPt>
                <c:dPt>
                  <c:idx val="3"/>
                  <c:invertIfNegative val="0"/>
                  <c:bubble3D val="0"/>
                  <c:spPr>
                    <a:solidFill>
                      <a:schemeClr val="accent1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DDEB-4621-BD8F-71A5D17AAE1F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'Q1 2022'!$O$26:$O$29</c15:sqref>
                        </c15:formulaRef>
                      </c:ext>
                    </c:extLst>
                    <c:strCache>
                      <c:ptCount val="4"/>
                      <c:pt idx="0">
                        <c:v>Q1 2021</c:v>
                      </c:pt>
                      <c:pt idx="1">
                        <c:v>Q1 2022</c:v>
                      </c:pt>
                      <c:pt idx="2">
                        <c:v>Q4&amp;Q1 2021</c:v>
                      </c:pt>
                      <c:pt idx="3">
                        <c:v>Q4&amp;Q1 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'Q1 2022'!$P$26:$P$29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1916.5</c:v>
                      </c:pt>
                      <c:pt idx="1">
                        <c:v>2232.8000000000002</c:v>
                      </c:pt>
                      <c:pt idx="2">
                        <c:v>4088.2</c:v>
                      </c:pt>
                      <c:pt idx="3">
                        <c:v>4798.1000000000004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DDEB-4621-BD8F-71A5D17AAE1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 2022'!$Q$23</c15:sqref>
                        </c15:formulaRef>
                      </c:ext>
                    </c:extLst>
                    <c:strCache>
                      <c:ptCount val="1"/>
                      <c:pt idx="0">
                        <c:v>Smithfield Seg Profit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DDEB-4621-BD8F-71A5D17AAE1F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DDEB-4621-BD8F-71A5D17AAE1F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DDEB-4621-BD8F-71A5D17AAE1F}"/>
                    </c:ext>
                  </c:extLst>
                </c:dPt>
                <c:dPt>
                  <c:idx val="3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DDEB-4621-BD8F-71A5D17AAE1F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 2022'!$O$26:$O$29</c15:sqref>
                        </c15:formulaRef>
                      </c:ext>
                    </c:extLst>
                    <c:strCache>
                      <c:ptCount val="4"/>
                      <c:pt idx="0">
                        <c:v>Q1 2021</c:v>
                      </c:pt>
                      <c:pt idx="1">
                        <c:v>Q1 2022</c:v>
                      </c:pt>
                      <c:pt idx="2">
                        <c:v>Q4&amp;Q1 2021</c:v>
                      </c:pt>
                      <c:pt idx="3">
                        <c:v>Q4&amp;Q1 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 2022'!$Q$26:$Q$29</c15:sqref>
                        </c15:formulaRef>
                      </c:ext>
                    </c:extLst>
                    <c:numCache>
                      <c:formatCode>"$"#,##0</c:formatCode>
                      <c:ptCount val="4"/>
                      <c:pt idx="0">
                        <c:v>192</c:v>
                      </c:pt>
                      <c:pt idx="1">
                        <c:v>300.2</c:v>
                      </c:pt>
                      <c:pt idx="2">
                        <c:v>367.8</c:v>
                      </c:pt>
                      <c:pt idx="3">
                        <c:v>658.59999999999991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EB-4621-BD8F-71A5D17AAE1F}"/>
                  </c:ext>
                </c:extLst>
              </c15:ser>
            </c15:filteredBarSeries>
          </c:ext>
        </c:extLst>
      </c:barChart>
      <c:catAx>
        <c:axId val="116435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800"/>
        <c:crosses val="autoZero"/>
        <c:auto val="1"/>
        <c:lblAlgn val="ctr"/>
        <c:lblOffset val="100"/>
        <c:noMultiLvlLbl val="0"/>
      </c:catAx>
      <c:valAx>
        <c:axId val="116435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38100</xdr:rowOff>
    </xdr:from>
    <xdr:to>
      <xdr:col>11</xdr:col>
      <xdr:colOff>885825</xdr:colOff>
      <xdr:row>12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5E312-C1BC-476B-A393-84C85C120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13</xdr:row>
      <xdr:rowOff>25215</xdr:rowOff>
    </xdr:from>
    <xdr:to>
      <xdr:col>11</xdr:col>
      <xdr:colOff>897255</xdr:colOff>
      <xdr:row>24</xdr:row>
      <xdr:rowOff>167866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A9175-912C-4A2B-AA83-806D0DD96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47999</xdr:rowOff>
    </xdr:from>
    <xdr:to>
      <xdr:col>6</xdr:col>
      <xdr:colOff>8031</xdr:colOff>
      <xdr:row>13</xdr:row>
      <xdr:rowOff>1493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9BDFAD-6EF1-4E3D-A0EB-9EDCF3CDA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15241</xdr:colOff>
      <xdr:row>2</xdr:row>
      <xdr:rowOff>29808</xdr:rowOff>
    </xdr:from>
    <xdr:to>
      <xdr:col>17</xdr:col>
      <xdr:colOff>800101</xdr:colOff>
      <xdr:row>12</xdr:row>
      <xdr:rowOff>173579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B79D92-FCCE-4DC9-850A-A52709E5D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26669</xdr:colOff>
      <xdr:row>13</xdr:row>
      <xdr:rowOff>36195</xdr:rowOff>
    </xdr:from>
    <xdr:to>
      <xdr:col>17</xdr:col>
      <xdr:colOff>809624</xdr:colOff>
      <xdr:row>24</xdr:row>
      <xdr:rowOff>174252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CC9F53-357F-4F54-92D5-E279E489A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13</xdr:row>
      <xdr:rowOff>19050</xdr:rowOff>
    </xdr:from>
    <xdr:to>
      <xdr:col>6</xdr:col>
      <xdr:colOff>0</xdr:colOff>
      <xdr:row>24</xdr:row>
      <xdr:rowOff>163606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0619F9-8BE3-4B53-9EA3-3C62D54D1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590B7-59FA-42B5-9F1E-96003E235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180977</xdr:rowOff>
    </xdr:from>
    <xdr:to>
      <xdr:col>12</xdr:col>
      <xdr:colOff>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9F56EB-550A-415D-B05E-9DCE156F4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38</xdr:row>
      <xdr:rowOff>1</xdr:rowOff>
    </xdr:from>
    <xdr:to>
      <xdr:col>6</xdr:col>
      <xdr:colOff>0</xdr:colOff>
      <xdr:row>49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138D3D-65F5-404E-A3C0-80334DDD3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38</xdr:row>
      <xdr:rowOff>9525</xdr:rowOff>
    </xdr:from>
    <xdr:to>
      <xdr:col>11</xdr:col>
      <xdr:colOff>771525</xdr:colOff>
      <xdr:row>49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9CC093-384F-40FE-A7DD-5B109FEB9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5</xdr:col>
      <xdr:colOff>752475</xdr:colOff>
      <xdr:row>32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15643A-A106-4A4C-AAE9-3E34D5E32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0</xdr:colOff>
      <xdr:row>32</xdr:row>
      <xdr:rowOff>19048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780CEF-C831-4203-8A8B-D36D2E276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</xdr:row>
      <xdr:rowOff>0</xdr:rowOff>
    </xdr:from>
    <xdr:to>
      <xdr:col>6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AC9D9-F9BB-4730-B9C1-B4AF603BE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180977</xdr:rowOff>
    </xdr:from>
    <xdr:to>
      <xdr:col>12</xdr:col>
      <xdr:colOff>0</xdr:colOff>
      <xdr:row>10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243956-B155-4F60-90BF-AA817A894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29</xdr:row>
      <xdr:rowOff>1</xdr:rowOff>
    </xdr:from>
    <xdr:to>
      <xdr:col>6</xdr:col>
      <xdr:colOff>9525</xdr:colOff>
      <xdr:row>36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5CA66A-A6DF-44BF-A00B-58568F95A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29</xdr:row>
      <xdr:rowOff>9525</xdr:rowOff>
    </xdr:from>
    <xdr:to>
      <xdr:col>11</xdr:col>
      <xdr:colOff>771525</xdr:colOff>
      <xdr:row>36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B04208-1B4C-4BE2-B752-127AEB199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15</xdr:row>
      <xdr:rowOff>190499</xdr:rowOff>
    </xdr:from>
    <xdr:to>
      <xdr:col>5</xdr:col>
      <xdr:colOff>752475</xdr:colOff>
      <xdr:row>23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00B01D-9EEB-486D-A28C-106839C18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0</xdr:colOff>
      <xdr:row>23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B56A10-1328-4C47-8542-61F18DB00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9AD06-CD47-4C70-BE09-F02A333A7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180977</xdr:rowOff>
    </xdr:from>
    <xdr:to>
      <xdr:col>12</xdr:col>
      <xdr:colOff>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040F81-6379-4973-A733-BF32CCB03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21</xdr:row>
      <xdr:rowOff>1</xdr:rowOff>
    </xdr:from>
    <xdr:to>
      <xdr:col>6</xdr:col>
      <xdr:colOff>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867CDE-03FB-49EB-8F82-82BC2D759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21</xdr:row>
      <xdr:rowOff>9525</xdr:rowOff>
    </xdr:from>
    <xdr:to>
      <xdr:col>11</xdr:col>
      <xdr:colOff>771525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428D72-F2F7-4141-BDF2-2BF894399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AFB3EE-036C-4B08-B30E-8F41BF1F3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180977</xdr:rowOff>
    </xdr:from>
    <xdr:to>
      <xdr:col>12</xdr:col>
      <xdr:colOff>0</xdr:colOff>
      <xdr:row>15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7344DB9-1383-4A44-997E-7810B6F39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21</xdr:row>
      <xdr:rowOff>1</xdr:rowOff>
    </xdr:from>
    <xdr:to>
      <xdr:col>6</xdr:col>
      <xdr:colOff>0</xdr:colOff>
      <xdr:row>32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AECB232-AF4A-4D04-9788-5B0F2030D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21</xdr:row>
      <xdr:rowOff>9525</xdr:rowOff>
    </xdr:from>
    <xdr:to>
      <xdr:col>11</xdr:col>
      <xdr:colOff>771525</xdr:colOff>
      <xdr:row>32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B0B75CE-CB24-493B-8CBB-ABE6D75ED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2E3A-8FF2-4BEF-A327-8F5D527EBDDE}">
  <dimension ref="A1"/>
  <sheetViews>
    <sheetView workbookViewId="0"/>
  </sheetViews>
  <sheetFormatPr defaultRowHeight="14.5" x14ac:dyDescent="0.35"/>
  <sheetData>
    <row r="1" spans="1:1" x14ac:dyDescent="0.35">
      <c r="A1" t="s">
        <v>31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5253-DCA8-4AF2-B0D5-F3988321123F}">
  <dimension ref="A1:XFC46"/>
  <sheetViews>
    <sheetView topLeftCell="A25" workbookViewId="0">
      <selection activeCell="A2" sqref="A2"/>
    </sheetView>
  </sheetViews>
  <sheetFormatPr defaultRowHeight="14.5" x14ac:dyDescent="0.35"/>
  <cols>
    <col min="1" max="1" width="10.7265625" customWidth="1"/>
    <col min="2" max="2" width="13.81640625" bestFit="1" customWidth="1"/>
    <col min="3" max="3" width="14.54296875" bestFit="1" customWidth="1"/>
    <col min="6" max="6" width="10.54296875" style="76" bestFit="1" customWidth="1"/>
    <col min="9" max="9" width="13.26953125" bestFit="1" customWidth="1"/>
    <col min="11" max="11" width="11" bestFit="1" customWidth="1"/>
    <col min="12" max="12" width="8" bestFit="1" customWidth="1"/>
    <col min="13" max="14" width="11" bestFit="1" customWidth="1"/>
    <col min="16" max="16" width="10.26953125" bestFit="1" customWidth="1"/>
    <col min="17" max="18" width="8.1796875" bestFit="1" customWidth="1"/>
    <col min="19" max="19" width="7.81640625" bestFit="1" customWidth="1"/>
    <col min="20" max="21" width="8.1796875" bestFit="1" customWidth="1"/>
    <col min="22" max="22" width="7.453125" bestFit="1" customWidth="1"/>
  </cols>
  <sheetData>
    <row r="1" spans="1:6 16383:16383" x14ac:dyDescent="0.35">
      <c r="A1" s="58" t="s">
        <v>32</v>
      </c>
    </row>
    <row r="2" spans="1:6 16383:16383" x14ac:dyDescent="0.35">
      <c r="A2" t="s">
        <v>33</v>
      </c>
    </row>
    <row r="3" spans="1:6 16383:16383" x14ac:dyDescent="0.35">
      <c r="A3" t="s">
        <v>34</v>
      </c>
      <c r="B3" s="16" t="s">
        <v>35</v>
      </c>
      <c r="C3" s="16" t="s">
        <v>36</v>
      </c>
      <c r="D3" s="16" t="s">
        <v>27</v>
      </c>
      <c r="E3" s="16" t="s">
        <v>28</v>
      </c>
      <c r="F3" s="77" t="s">
        <v>6</v>
      </c>
    </row>
    <row r="4" spans="1:6 16383:16383" x14ac:dyDescent="0.35">
      <c r="A4" t="s">
        <v>1</v>
      </c>
      <c r="B4" t="s">
        <v>37</v>
      </c>
      <c r="C4" t="s">
        <v>38</v>
      </c>
      <c r="D4" s="73">
        <f>2164+1477</f>
        <v>3641</v>
      </c>
      <c r="E4" s="73">
        <f>217+67</f>
        <v>284</v>
      </c>
      <c r="F4" s="81"/>
    </row>
    <row r="5" spans="1:6 16383:16383" x14ac:dyDescent="0.35">
      <c r="A5" t="s">
        <v>1</v>
      </c>
      <c r="B5" t="s">
        <v>39</v>
      </c>
      <c r="C5" t="s">
        <v>40</v>
      </c>
      <c r="D5" s="73">
        <f>2323+1715</f>
        <v>4038</v>
      </c>
      <c r="E5" s="73">
        <f>150+67</f>
        <v>217</v>
      </c>
      <c r="F5" s="81"/>
    </row>
    <row r="6" spans="1:6 16383:16383" x14ac:dyDescent="0.35">
      <c r="A6" t="s">
        <v>1</v>
      </c>
      <c r="B6" t="s">
        <v>41</v>
      </c>
      <c r="C6" t="s">
        <v>42</v>
      </c>
      <c r="D6" s="73">
        <f>2253+1646</f>
        <v>3899</v>
      </c>
      <c r="E6" s="73">
        <f>39+78</f>
        <v>117</v>
      </c>
      <c r="F6" s="81"/>
      <c r="XFC6" s="73"/>
    </row>
    <row r="7" spans="1:6 16383:16383" x14ac:dyDescent="0.35">
      <c r="A7" t="s">
        <v>1</v>
      </c>
      <c r="B7" t="s">
        <v>43</v>
      </c>
      <c r="C7" t="s">
        <v>44</v>
      </c>
      <c r="D7" s="73">
        <f>2393+1565</f>
        <v>3958</v>
      </c>
      <c r="E7" s="73">
        <f>263+59</f>
        <v>322</v>
      </c>
      <c r="F7" s="81"/>
    </row>
    <row r="8" spans="1:6 16383:16383" x14ac:dyDescent="0.35">
      <c r="A8" t="s">
        <v>1</v>
      </c>
      <c r="B8" t="s">
        <v>45</v>
      </c>
      <c r="C8" t="s">
        <v>46</v>
      </c>
      <c r="D8" s="73">
        <f>2447+1619</f>
        <v>4066</v>
      </c>
      <c r="E8" s="73">
        <f>186+25</f>
        <v>211</v>
      </c>
      <c r="F8" s="81"/>
    </row>
    <row r="9" spans="1:6 16383:16383" x14ac:dyDescent="0.35">
      <c r="A9" t="s">
        <v>1</v>
      </c>
      <c r="B9" t="s">
        <v>47</v>
      </c>
      <c r="C9" t="s">
        <v>48</v>
      </c>
      <c r="D9" s="73">
        <f>2516+1604</f>
        <v>4120</v>
      </c>
      <c r="E9" s="73">
        <f>147-50</f>
        <v>97</v>
      </c>
      <c r="F9" s="81"/>
    </row>
    <row r="10" spans="1:6 16383:16383" x14ac:dyDescent="0.35">
      <c r="A10" t="s">
        <v>1</v>
      </c>
      <c r="B10" t="s">
        <v>49</v>
      </c>
      <c r="C10" t="s">
        <v>50</v>
      </c>
      <c r="D10" s="73"/>
      <c r="E10" s="73"/>
      <c r="F10" s="81"/>
    </row>
    <row r="11" spans="1:6 16383:16383" x14ac:dyDescent="0.35">
      <c r="A11" t="s">
        <v>1</v>
      </c>
      <c r="B11" t="s">
        <v>51</v>
      </c>
      <c r="C11" t="s">
        <v>52</v>
      </c>
      <c r="D11" s="3">
        <v>4277</v>
      </c>
      <c r="E11" s="3">
        <v>483</v>
      </c>
      <c r="F11" s="81"/>
    </row>
    <row r="12" spans="1:6 16383:16383" x14ac:dyDescent="0.35">
      <c r="A12" t="s">
        <v>1</v>
      </c>
      <c r="B12" t="s">
        <v>53</v>
      </c>
      <c r="C12" t="s">
        <v>54</v>
      </c>
      <c r="D12" s="75">
        <f>D5+D4</f>
        <v>7679</v>
      </c>
      <c r="E12" s="75">
        <f>E5+E4</f>
        <v>501</v>
      </c>
      <c r="F12" s="81"/>
    </row>
    <row r="13" spans="1:6 16383:16383" x14ac:dyDescent="0.35">
      <c r="A13" t="s">
        <v>1</v>
      </c>
      <c r="B13" t="s">
        <v>55</v>
      </c>
      <c r="C13" t="s">
        <v>56</v>
      </c>
      <c r="D13" s="3">
        <v>4726</v>
      </c>
      <c r="E13" s="3">
        <v>449</v>
      </c>
      <c r="F13" s="81"/>
    </row>
    <row r="14" spans="1:6 16383:16383" x14ac:dyDescent="0.35">
      <c r="A14" t="s">
        <v>1</v>
      </c>
      <c r="B14" t="s">
        <v>57</v>
      </c>
      <c r="C14" t="s">
        <v>58</v>
      </c>
      <c r="D14" s="75">
        <f>D8+D7</f>
        <v>8024</v>
      </c>
      <c r="E14" s="75">
        <f>E8+E7</f>
        <v>533</v>
      </c>
      <c r="F14" s="81"/>
    </row>
    <row r="15" spans="1:6 16383:16383" x14ac:dyDescent="0.35">
      <c r="A15" t="s">
        <v>1</v>
      </c>
      <c r="B15" t="s">
        <v>59</v>
      </c>
      <c r="C15" t="s">
        <v>60</v>
      </c>
      <c r="D15" s="75">
        <f>D11+D5</f>
        <v>8315</v>
      </c>
      <c r="E15" s="75">
        <f>E11+E5</f>
        <v>700</v>
      </c>
      <c r="F15" s="76">
        <f>2.67*1000</f>
        <v>2670</v>
      </c>
    </row>
    <row r="16" spans="1:6 16383:16383" x14ac:dyDescent="0.35">
      <c r="A16" t="s">
        <v>1</v>
      </c>
      <c r="B16" t="s">
        <v>59</v>
      </c>
      <c r="C16" t="s">
        <v>61</v>
      </c>
      <c r="D16" s="75">
        <f>D13+D8</f>
        <v>8792</v>
      </c>
      <c r="E16" s="75">
        <f>E13+E8</f>
        <v>660</v>
      </c>
      <c r="F16" s="76">
        <f>2.52*1000</f>
        <v>2520</v>
      </c>
    </row>
    <row r="17" spans="1:22" x14ac:dyDescent="0.35">
      <c r="A17" t="s">
        <v>1</v>
      </c>
      <c r="B17" t="s">
        <v>62</v>
      </c>
      <c r="C17" t="s">
        <v>63</v>
      </c>
      <c r="D17" s="3">
        <f>D11+D5+D6</f>
        <v>12214</v>
      </c>
      <c r="E17" s="3">
        <f>E11+E5+E6</f>
        <v>817</v>
      </c>
      <c r="F17" s="78"/>
    </row>
    <row r="18" spans="1:22" x14ac:dyDescent="0.35">
      <c r="A18" t="s">
        <v>1</v>
      </c>
      <c r="B18" t="s">
        <v>62</v>
      </c>
      <c r="C18" t="s">
        <v>64</v>
      </c>
      <c r="D18" s="3">
        <f>D13+D9+D8</f>
        <v>12912</v>
      </c>
      <c r="E18" s="3">
        <f>E13+E9+E8</f>
        <v>757</v>
      </c>
      <c r="F18" s="78"/>
    </row>
    <row r="19" spans="1:22" x14ac:dyDescent="0.35">
      <c r="D19" s="3"/>
      <c r="E19" s="3"/>
      <c r="F19" s="78"/>
    </row>
    <row r="20" spans="1:22" x14ac:dyDescent="0.35">
      <c r="D20" s="3"/>
      <c r="E20" s="3"/>
      <c r="F20" s="78"/>
    </row>
    <row r="21" spans="1:22" x14ac:dyDescent="0.35">
      <c r="A21" t="s">
        <v>34</v>
      </c>
      <c r="B21" s="16" t="s">
        <v>35</v>
      </c>
      <c r="C21" s="16" t="s">
        <v>36</v>
      </c>
      <c r="D21" s="16" t="s">
        <v>27</v>
      </c>
      <c r="E21" s="16" t="s">
        <v>28</v>
      </c>
      <c r="F21" s="77" t="s">
        <v>6</v>
      </c>
    </row>
    <row r="22" spans="1:22" x14ac:dyDescent="0.35">
      <c r="A22" t="s">
        <v>65</v>
      </c>
      <c r="B22" t="s">
        <v>66</v>
      </c>
      <c r="C22" t="s">
        <v>67</v>
      </c>
      <c r="D22" s="3">
        <v>3587.2</v>
      </c>
      <c r="E22" s="3">
        <v>-8.3219999999999743</v>
      </c>
      <c r="F22" s="78"/>
    </row>
    <row r="23" spans="1:22" x14ac:dyDescent="0.35">
      <c r="A23" t="s">
        <v>65</v>
      </c>
      <c r="B23" t="s">
        <v>37</v>
      </c>
      <c r="C23" t="s">
        <v>38</v>
      </c>
      <c r="D23" s="3">
        <v>3441.6270000000004</v>
      </c>
      <c r="E23" s="3">
        <v>196.96100000000001</v>
      </c>
      <c r="F23" s="78"/>
    </row>
    <row r="24" spans="1:22" x14ac:dyDescent="0.35">
      <c r="A24" t="s">
        <v>65</v>
      </c>
      <c r="B24" t="s">
        <v>39</v>
      </c>
      <c r="C24" t="s">
        <v>40</v>
      </c>
      <c r="D24" s="3">
        <v>3717.2719999999999</v>
      </c>
      <c r="E24" s="3">
        <v>192.54900000000001</v>
      </c>
      <c r="F24" s="78"/>
    </row>
    <row r="25" spans="1:22" ht="15" thickBot="1" x14ac:dyDescent="0.4">
      <c r="A25" t="s">
        <v>65</v>
      </c>
      <c r="B25" t="s">
        <v>41</v>
      </c>
      <c r="C25" t="s">
        <v>42</v>
      </c>
      <c r="D25" s="3">
        <v>3567.2540629999994</v>
      </c>
      <c r="E25" s="3">
        <v>203.5</v>
      </c>
      <c r="F25" s="78"/>
    </row>
    <row r="26" spans="1:22" ht="15" thickBot="1" x14ac:dyDescent="0.4">
      <c r="A26" t="s">
        <v>65</v>
      </c>
      <c r="B26" t="s">
        <v>42</v>
      </c>
      <c r="C26" t="s">
        <v>68</v>
      </c>
      <c r="D26" s="3">
        <v>3877.0059999999999</v>
      </c>
      <c r="E26" s="3">
        <v>383.8</v>
      </c>
      <c r="F26" s="78"/>
      <c r="P26" s="90" t="s">
        <v>69</v>
      </c>
      <c r="Q26" s="91" t="s">
        <v>68</v>
      </c>
      <c r="R26" s="91" t="s">
        <v>70</v>
      </c>
      <c r="S26" s="92" t="s">
        <v>71</v>
      </c>
      <c r="T26" s="91" t="s">
        <v>30</v>
      </c>
      <c r="U26" s="91" t="s">
        <v>13</v>
      </c>
      <c r="V26" s="91">
        <v>2022</v>
      </c>
    </row>
    <row r="27" spans="1:22" x14ac:dyDescent="0.35">
      <c r="A27" t="s">
        <v>65</v>
      </c>
      <c r="B27" t="s">
        <v>43</v>
      </c>
      <c r="C27" t="s">
        <v>44</v>
      </c>
      <c r="D27" s="3">
        <v>3620.1219999999998</v>
      </c>
      <c r="E27" s="3">
        <v>349.5</v>
      </c>
      <c r="F27" s="78"/>
      <c r="P27" t="s">
        <v>65</v>
      </c>
      <c r="Q27" s="16" t="s">
        <v>68</v>
      </c>
      <c r="R27" s="84" t="s">
        <v>44</v>
      </c>
      <c r="S27" s="87" t="s">
        <v>46</v>
      </c>
      <c r="T27" s="84" t="s">
        <v>48</v>
      </c>
      <c r="U27" s="84" t="s">
        <v>50</v>
      </c>
      <c r="V27" s="84" t="s">
        <v>72</v>
      </c>
    </row>
    <row r="28" spans="1:22" x14ac:dyDescent="0.35">
      <c r="A28" t="s">
        <v>65</v>
      </c>
      <c r="B28" t="s">
        <v>45</v>
      </c>
      <c r="C28" t="s">
        <v>46</v>
      </c>
      <c r="D28" s="3">
        <v>3743.2000000000007</v>
      </c>
      <c r="E28" s="3">
        <v>293.59999999999997</v>
      </c>
      <c r="F28" s="78"/>
      <c r="P28" t="s">
        <v>1</v>
      </c>
      <c r="Q28" s="85" t="s">
        <v>44</v>
      </c>
      <c r="R28" s="85" t="s">
        <v>46</v>
      </c>
      <c r="S28" s="88" t="s">
        <v>48</v>
      </c>
      <c r="T28" s="85" t="s">
        <v>50</v>
      </c>
      <c r="U28" s="16" t="s">
        <v>73</v>
      </c>
      <c r="V28" s="85" t="s">
        <v>72</v>
      </c>
    </row>
    <row r="29" spans="1:22" ht="15" thickBot="1" x14ac:dyDescent="0.4">
      <c r="A29" t="s">
        <v>65</v>
      </c>
      <c r="B29" t="s">
        <v>47</v>
      </c>
      <c r="C29" t="s">
        <v>48</v>
      </c>
      <c r="D29" s="3">
        <v>3645.2</v>
      </c>
      <c r="E29" s="3">
        <v>169.2</v>
      </c>
      <c r="F29" s="78"/>
      <c r="P29" t="s">
        <v>15</v>
      </c>
      <c r="Q29" s="86" t="s">
        <v>74</v>
      </c>
      <c r="R29" s="86" t="s">
        <v>75</v>
      </c>
      <c r="S29" s="89" t="s">
        <v>76</v>
      </c>
      <c r="T29" s="86" t="s">
        <v>77</v>
      </c>
      <c r="U29" s="16" t="s">
        <v>74</v>
      </c>
      <c r="V29" s="86" t="s">
        <v>72</v>
      </c>
    </row>
    <row r="30" spans="1:22" x14ac:dyDescent="0.35">
      <c r="A30" t="s">
        <v>65</v>
      </c>
      <c r="B30" t="s">
        <v>49</v>
      </c>
      <c r="C30" t="s">
        <v>50</v>
      </c>
      <c r="D30" s="3"/>
      <c r="E30" s="3"/>
      <c r="F30" s="78"/>
      <c r="Q30" s="86"/>
      <c r="R30" s="86"/>
      <c r="S30" s="86"/>
      <c r="T30" s="86"/>
      <c r="U30" s="16"/>
      <c r="V30" s="86"/>
    </row>
    <row r="31" spans="1:22" x14ac:dyDescent="0.35">
      <c r="A31" t="s">
        <v>65</v>
      </c>
      <c r="B31" t="s">
        <v>51</v>
      </c>
      <c r="C31" t="s">
        <v>52</v>
      </c>
      <c r="D31" s="75">
        <f t="shared" ref="D31:F32" si="0">D23+D22</f>
        <v>7028.8270000000002</v>
      </c>
      <c r="E31" s="75">
        <f t="shared" si="0"/>
        <v>188.63900000000004</v>
      </c>
      <c r="F31" s="79">
        <f t="shared" si="0"/>
        <v>0</v>
      </c>
    </row>
    <row r="32" spans="1:22" x14ac:dyDescent="0.35">
      <c r="A32" t="s">
        <v>65</v>
      </c>
      <c r="B32" t="s">
        <v>53</v>
      </c>
      <c r="C32" t="s">
        <v>54</v>
      </c>
      <c r="D32" s="75">
        <f t="shared" si="0"/>
        <v>7158.8990000000003</v>
      </c>
      <c r="E32" s="75">
        <f t="shared" si="0"/>
        <v>389.51</v>
      </c>
      <c r="F32" s="79">
        <f t="shared" si="0"/>
        <v>0</v>
      </c>
    </row>
    <row r="33" spans="1:9" x14ac:dyDescent="0.35">
      <c r="A33" t="s">
        <v>65</v>
      </c>
      <c r="B33" t="s">
        <v>55</v>
      </c>
      <c r="C33" t="s">
        <v>56</v>
      </c>
      <c r="D33" s="75">
        <f t="shared" ref="D33:F34" si="1">D27+D26</f>
        <v>7497.1279999999997</v>
      </c>
      <c r="E33" s="75">
        <f t="shared" si="1"/>
        <v>733.3</v>
      </c>
      <c r="F33" s="79">
        <f t="shared" si="1"/>
        <v>0</v>
      </c>
    </row>
    <row r="34" spans="1:9" x14ac:dyDescent="0.35">
      <c r="A34" t="s">
        <v>65</v>
      </c>
      <c r="B34" t="s">
        <v>57</v>
      </c>
      <c r="C34" t="s">
        <v>58</v>
      </c>
      <c r="D34" s="75">
        <f t="shared" si="1"/>
        <v>7363.3220000000001</v>
      </c>
      <c r="E34" s="75">
        <f t="shared" si="1"/>
        <v>643.09999999999991</v>
      </c>
      <c r="F34" s="79">
        <f t="shared" si="1"/>
        <v>0</v>
      </c>
      <c r="G34" s="83"/>
    </row>
    <row r="35" spans="1:9" x14ac:dyDescent="0.35">
      <c r="A35" t="s">
        <v>65</v>
      </c>
      <c r="B35" t="s">
        <v>59</v>
      </c>
      <c r="C35" t="s">
        <v>60</v>
      </c>
      <c r="D35" s="75">
        <f>D24+D23+D22</f>
        <v>10746.099</v>
      </c>
      <c r="E35" s="75">
        <f>E24+E23+E22</f>
        <v>381.18799999999999</v>
      </c>
      <c r="F35" s="79">
        <f>F24+F23+F22</f>
        <v>0</v>
      </c>
    </row>
    <row r="36" spans="1:9" x14ac:dyDescent="0.35">
      <c r="A36" t="s">
        <v>65</v>
      </c>
      <c r="B36" t="s">
        <v>59</v>
      </c>
      <c r="C36" t="s">
        <v>61</v>
      </c>
      <c r="D36" s="75">
        <f>D28+D27+D26</f>
        <v>11240.328</v>
      </c>
      <c r="E36" s="75">
        <f>E28+E27+E26</f>
        <v>1026.8999999999999</v>
      </c>
      <c r="F36" s="79">
        <f>F28+F27+F26</f>
        <v>0</v>
      </c>
    </row>
    <row r="37" spans="1:9" x14ac:dyDescent="0.35">
      <c r="A37" t="s">
        <v>65</v>
      </c>
      <c r="B37" t="s">
        <v>62</v>
      </c>
      <c r="C37" t="s">
        <v>63</v>
      </c>
      <c r="D37" s="75">
        <f>D25+D24+D23+D22</f>
        <v>14313.353062999999</v>
      </c>
      <c r="E37" s="75">
        <f>E25+E24+E23+E22</f>
        <v>584.68799999999999</v>
      </c>
      <c r="F37" s="79">
        <f>F25+F24+F23+F22</f>
        <v>0</v>
      </c>
    </row>
    <row r="38" spans="1:9" x14ac:dyDescent="0.35">
      <c r="A38" t="s">
        <v>65</v>
      </c>
      <c r="B38" t="s">
        <v>62</v>
      </c>
      <c r="C38" t="s">
        <v>64</v>
      </c>
      <c r="D38" s="75">
        <f>D29+D28+D27+D26</f>
        <v>14885.528</v>
      </c>
      <c r="E38" s="75">
        <f>E29+E28+E27+E26</f>
        <v>1196.0999999999999</v>
      </c>
      <c r="F38" s="79">
        <f>F29+F28+F27+F26</f>
        <v>0</v>
      </c>
    </row>
    <row r="40" spans="1:9" x14ac:dyDescent="0.35">
      <c r="I40" s="76"/>
    </row>
    <row r="41" spans="1:9" x14ac:dyDescent="0.35">
      <c r="I41" s="82"/>
    </row>
    <row r="42" spans="1:9" x14ac:dyDescent="0.35">
      <c r="A42" t="s">
        <v>34</v>
      </c>
      <c r="B42" s="16" t="s">
        <v>78</v>
      </c>
      <c r="C42" s="16" t="s">
        <v>36</v>
      </c>
      <c r="D42" s="16" t="s">
        <v>27</v>
      </c>
      <c r="E42" s="16" t="s">
        <v>28</v>
      </c>
      <c r="F42" s="77" t="s">
        <v>6</v>
      </c>
      <c r="I42" s="83"/>
    </row>
    <row r="43" spans="1:9" x14ac:dyDescent="0.35">
      <c r="A43" t="s">
        <v>79</v>
      </c>
      <c r="B43" t="s">
        <v>80</v>
      </c>
      <c r="C43" t="s">
        <v>64</v>
      </c>
      <c r="D43" s="3">
        <v>6149.1163771048195</v>
      </c>
      <c r="E43" s="3">
        <v>579.44621131095664</v>
      </c>
      <c r="F43" s="39"/>
    </row>
    <row r="44" spans="1:9" x14ac:dyDescent="0.35">
      <c r="A44" t="s">
        <v>79</v>
      </c>
      <c r="B44" t="s">
        <v>81</v>
      </c>
      <c r="C44" t="s">
        <v>63</v>
      </c>
      <c r="D44" s="3">
        <v>5728.6087656529699</v>
      </c>
      <c r="E44" s="3">
        <v>555.89990545117803</v>
      </c>
      <c r="F44" s="39"/>
    </row>
    <row r="45" spans="1:9" x14ac:dyDescent="0.35">
      <c r="A45" t="s">
        <v>79</v>
      </c>
      <c r="B45" t="s">
        <v>45</v>
      </c>
      <c r="C45" t="s">
        <v>48</v>
      </c>
      <c r="D45" s="3">
        <v>2127.4864943421098</v>
      </c>
      <c r="E45" s="3">
        <v>141.15651904484699</v>
      </c>
      <c r="F45" s="39"/>
    </row>
    <row r="46" spans="1:9" x14ac:dyDescent="0.35">
      <c r="A46" t="s">
        <v>79</v>
      </c>
      <c r="B46" t="s">
        <v>39</v>
      </c>
      <c r="C46" t="s">
        <v>42</v>
      </c>
      <c r="D46" s="3">
        <v>2092.2054108838802</v>
      </c>
      <c r="E46" s="3">
        <v>170.17560081888999</v>
      </c>
      <c r="F46" s="39"/>
    </row>
  </sheetData>
  <phoneticPr fontId="4" type="noConversion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B916-BC92-41B4-AC3D-2D008521D00E}">
  <dimension ref="A1:AD38"/>
  <sheetViews>
    <sheetView zoomScaleNormal="100" workbookViewId="0">
      <selection activeCell="W15" sqref="W15"/>
    </sheetView>
  </sheetViews>
  <sheetFormatPr defaultRowHeight="14.5" outlineLevelCol="1" x14ac:dyDescent="0.35"/>
  <cols>
    <col min="1" max="1" width="1" customWidth="1"/>
    <col min="2" max="5" width="11.7265625" customWidth="1"/>
    <col min="6" max="6" width="13.54296875" customWidth="1"/>
    <col min="7" max="7" width="0.7265625" customWidth="1" outlineLevel="1"/>
    <col min="8" max="11" width="12.453125" customWidth="1" outlineLevel="1"/>
    <col min="12" max="12" width="13.453125" customWidth="1" outlineLevel="1"/>
    <col min="13" max="13" width="0.54296875" customWidth="1" outlineLevel="1"/>
    <col min="14" max="14" width="11.54296875" customWidth="1"/>
    <col min="15" max="18" width="12.453125" customWidth="1"/>
    <col min="19" max="19" width="2" customWidth="1"/>
    <col min="20" max="20" width="12.453125" bestFit="1" customWidth="1"/>
    <col min="21" max="21" width="11.453125" bestFit="1" customWidth="1"/>
    <col min="22" max="22" width="12.54296875" bestFit="1" customWidth="1"/>
    <col min="23" max="23" width="14.81640625" bestFit="1" customWidth="1"/>
    <col min="24" max="24" width="8.453125" bestFit="1" customWidth="1"/>
    <col min="25" max="25" width="9.453125" bestFit="1" customWidth="1"/>
    <col min="26" max="26" width="8.453125" bestFit="1" customWidth="1"/>
  </cols>
  <sheetData>
    <row r="1" spans="1:26" x14ac:dyDescent="0.35">
      <c r="A1" s="18"/>
      <c r="B1" s="19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6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26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26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26" ht="15" thickBot="1" x14ac:dyDescent="0.4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9" t="s">
        <v>1</v>
      </c>
      <c r="U5" s="9" t="s">
        <v>2</v>
      </c>
      <c r="V5" s="10" t="s">
        <v>3</v>
      </c>
      <c r="W5" s="10" t="s">
        <v>4</v>
      </c>
      <c r="X5" s="10" t="s">
        <v>5</v>
      </c>
      <c r="Y5" s="10" t="s">
        <v>6</v>
      </c>
      <c r="Z5" s="10" t="s">
        <v>7</v>
      </c>
    </row>
    <row r="6" spans="1:26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t="s">
        <v>97</v>
      </c>
      <c r="U6" s="119" t="s">
        <v>97</v>
      </c>
      <c r="V6" s="122">
        <f>'Data-PM vs PF'!D19</f>
        <v>2473</v>
      </c>
      <c r="W6" s="122">
        <f>'Data-PM vs PF'!E19</f>
        <v>283</v>
      </c>
      <c r="X6" s="5">
        <f>W6/V6</f>
        <v>0.11443590780428629</v>
      </c>
      <c r="Y6" s="76"/>
      <c r="Z6" s="74"/>
    </row>
    <row r="7" spans="1:26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t="s">
        <v>191</v>
      </c>
      <c r="U7" s="119" t="s">
        <v>190</v>
      </c>
      <c r="V7" s="122">
        <f>'Data-PM vs PF'!D23</f>
        <v>2673</v>
      </c>
      <c r="W7" s="122">
        <f>'Data-PM vs PF'!E23</f>
        <v>278</v>
      </c>
      <c r="X7" s="5">
        <f>W7/V7</f>
        <v>0.10400299289188178</v>
      </c>
      <c r="Y7" s="76"/>
      <c r="Z7" s="74"/>
    </row>
    <row r="8" spans="1:26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t="str">
        <f>'Data-PM vs PF'!B24</f>
        <v>Q123 - Q423</v>
      </c>
      <c r="U8" t="str">
        <f>'Data-PM vs PF'!C24</f>
        <v>Lst 4 Qtr PY</v>
      </c>
      <c r="V8" s="2">
        <f>'Data-PM vs PF'!D24</f>
        <v>9781</v>
      </c>
      <c r="W8" s="2">
        <f>'Data-PM vs PF'!E24</f>
        <v>1248</v>
      </c>
      <c r="X8" s="5">
        <f>W8/V8</f>
        <v>0.12759431550966158</v>
      </c>
      <c r="Y8" s="78"/>
      <c r="Z8" s="74"/>
    </row>
    <row r="9" spans="1:26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t="str">
        <f>'Data-PM vs PF'!B25</f>
        <v>Q124 - Q424</v>
      </c>
      <c r="U9" t="str">
        <f>'Data-PM vs PF'!C25</f>
        <v>Lst 4 Qtr CY</v>
      </c>
      <c r="V9" s="2">
        <f>'Data-PM vs PF'!D25</f>
        <v>10130</v>
      </c>
      <c r="W9" s="2">
        <f>'Data-PM vs PF'!E25</f>
        <v>1263</v>
      </c>
      <c r="X9" s="5">
        <f>W9/V9</f>
        <v>0.12467917077986179</v>
      </c>
      <c r="Y9" s="78"/>
      <c r="Z9" s="74"/>
    </row>
    <row r="10" spans="1:26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6" t="s">
        <v>12</v>
      </c>
      <c r="U10" t="s">
        <v>13</v>
      </c>
      <c r="V10" s="116">
        <f>(V7-V6)/V6</f>
        <v>8.087343307723413E-2</v>
      </c>
      <c r="W10" s="116">
        <f>(W7-W6)/W6</f>
        <v>-1.7667844522968199E-2</v>
      </c>
      <c r="X10" s="115">
        <f>(X7-X6)/X6</f>
        <v>-9.1168192856453584E-2</v>
      </c>
      <c r="Y10" s="80"/>
      <c r="Z10" s="80"/>
    </row>
    <row r="11" spans="1:26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U11" t="s">
        <v>14</v>
      </c>
      <c r="V11" s="116">
        <f>(V9-V8)/V8</f>
        <v>3.5681423167365299E-2</v>
      </c>
      <c r="W11" s="116">
        <f>(W9-W8)/W8</f>
        <v>1.201923076923077E-2</v>
      </c>
      <c r="X11" s="115">
        <f>(X9-X8)/X8</f>
        <v>-2.2846979649176039E-2</v>
      </c>
      <c r="Y11" s="80"/>
      <c r="Z11" s="80"/>
    </row>
    <row r="12" spans="1:26" ht="15" customHeight="1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05"/>
    </row>
    <row r="13" spans="1:26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06"/>
    </row>
    <row r="14" spans="1:26" ht="3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26" ht="15" thickBot="1" x14ac:dyDescent="0.4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9" t="s">
        <v>15</v>
      </c>
      <c r="U15" s="9" t="s">
        <v>2</v>
      </c>
      <c r="V15" s="10" t="s">
        <v>16</v>
      </c>
      <c r="W15" s="10" t="s">
        <v>17</v>
      </c>
      <c r="X15" s="10" t="s">
        <v>5</v>
      </c>
      <c r="Y15" s="10" t="s">
        <v>6</v>
      </c>
      <c r="Z15" s="10" t="s">
        <v>7</v>
      </c>
    </row>
    <row r="16" spans="1:26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t="s">
        <v>188</v>
      </c>
      <c r="U16" t="s">
        <v>192</v>
      </c>
      <c r="V16" s="2">
        <f>'Data-PM vs PF'!D70</f>
        <v>2820.3180000000002</v>
      </c>
      <c r="W16" s="2">
        <f>'Data-PM vs PF'!E70</f>
        <v>257.97300000000001</v>
      </c>
      <c r="X16" s="5">
        <f>W16/V16</f>
        <v>9.1469472591388629E-2</v>
      </c>
      <c r="Y16" s="76"/>
      <c r="Z16" s="74"/>
    </row>
    <row r="17" spans="1:28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t="s">
        <v>186</v>
      </c>
      <c r="U17" t="s">
        <v>193</v>
      </c>
      <c r="V17" s="2">
        <f>'Data-PM vs PF'!D74</f>
        <v>2846.0329999999999</v>
      </c>
      <c r="W17" s="2">
        <f>'Data-PM vs PF'!E74</f>
        <v>252.73099999999999</v>
      </c>
      <c r="X17" s="5">
        <f>W17/V17</f>
        <v>8.8801148827156964E-2</v>
      </c>
      <c r="Y17" s="76"/>
      <c r="Z17" s="74"/>
    </row>
    <row r="18" spans="1:28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t="s">
        <v>20</v>
      </c>
      <c r="U18" t="str">
        <f>U28</f>
        <v>Lst 4 Qtr PY</v>
      </c>
      <c r="V18" s="2">
        <f>'Data-PM vs PF'!D75</f>
        <v>11215.227999999999</v>
      </c>
      <c r="W18" s="2">
        <f>'Data-PM vs PF'!E75</f>
        <v>1117.365</v>
      </c>
      <c r="X18" s="5">
        <f>W18/V18</f>
        <v>9.962927191493566E-2</v>
      </c>
      <c r="Y18" s="76"/>
      <c r="Z18" s="74"/>
    </row>
    <row r="19" spans="1:28" x14ac:dyDescent="0.35">
      <c r="A19" s="18"/>
      <c r="B19" s="18"/>
      <c r="C19" s="18"/>
      <c r="D19" s="18"/>
      <c r="E19" s="18"/>
      <c r="F19" s="18"/>
      <c r="G19" s="20"/>
      <c r="H19" s="18"/>
      <c r="I19" s="18"/>
      <c r="J19" s="18"/>
      <c r="K19" s="18"/>
      <c r="L19" s="18"/>
      <c r="M19" s="20"/>
      <c r="N19" s="18"/>
      <c r="O19" s="18"/>
      <c r="P19" s="18"/>
      <c r="Q19" s="18"/>
      <c r="R19" s="18"/>
      <c r="S19" s="20"/>
      <c r="T19" t="s">
        <v>21</v>
      </c>
      <c r="U19" t="str">
        <f>U29</f>
        <v>Lst 4 Qtr CY</v>
      </c>
      <c r="V19" s="2">
        <f>'Data-PM vs PF'!D76</f>
        <v>11427.449999999999</v>
      </c>
      <c r="W19" s="2">
        <f>'Data-PM vs PF'!E76</f>
        <v>1045.328</v>
      </c>
      <c r="X19" s="5">
        <f>W19/V19</f>
        <v>9.1475176001645161E-2</v>
      </c>
      <c r="Y19" s="76"/>
      <c r="Z19" s="74"/>
    </row>
    <row r="20" spans="1:28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6" t="s">
        <v>12</v>
      </c>
      <c r="U20" t="str">
        <f>U10</f>
        <v>Q4</v>
      </c>
      <c r="V20" s="116">
        <f>(V17-V16)/V16</f>
        <v>9.1177661526110499E-3</v>
      </c>
      <c r="W20" s="116">
        <f>(W17-W16)/W16</f>
        <v>-2.0319955964383941E-2</v>
      </c>
      <c r="X20" s="115">
        <f>(X17-X16)/X16</f>
        <v>-2.9171741004253619E-2</v>
      </c>
      <c r="Y20" s="115"/>
      <c r="Z20" s="80"/>
    </row>
    <row r="21" spans="1:28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U21" t="s">
        <v>14</v>
      </c>
      <c r="V21" s="116">
        <f>(V19-V18)/V18</f>
        <v>1.892266479112148E-2</v>
      </c>
      <c r="W21" s="116">
        <f>(W19-W18)/W18</f>
        <v>-6.4470428194905005E-2</v>
      </c>
      <c r="X21" s="115">
        <f t="shared" ref="X21" si="0">(X19-X18)/X18</f>
        <v>-8.1844379232767425E-2</v>
      </c>
      <c r="Y21" s="115"/>
      <c r="Z21" s="80"/>
    </row>
    <row r="22" spans="1:28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93"/>
    </row>
    <row r="23" spans="1:28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28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28" ht="15" thickBot="1" x14ac:dyDescent="0.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9" t="s">
        <v>22</v>
      </c>
      <c r="U25" s="9" t="s">
        <v>2</v>
      </c>
      <c r="V25" s="10" t="s">
        <v>23</v>
      </c>
      <c r="W25" s="10" t="s">
        <v>24</v>
      </c>
      <c r="X25" s="10" t="s">
        <v>5</v>
      </c>
      <c r="Y25" s="10" t="s">
        <v>6</v>
      </c>
      <c r="Z25" s="10" t="s">
        <v>7</v>
      </c>
      <c r="AA25" s="10" t="s">
        <v>25</v>
      </c>
    </row>
    <row r="26" spans="1:28" ht="15" thickBot="1" x14ac:dyDescent="0.4">
      <c r="A26" s="18"/>
      <c r="B26" s="107" t="s">
        <v>26</v>
      </c>
      <c r="C26" s="108" t="str">
        <f>I26</f>
        <v>Q4 2024</v>
      </c>
      <c r="D26" s="108" t="str">
        <f>J26</f>
        <v>Q4 2025</v>
      </c>
      <c r="E26" s="108" t="str">
        <f>K26</f>
        <v>Lst 4 Qtr PY</v>
      </c>
      <c r="F26" s="109" t="str">
        <f>L26</f>
        <v>Lst 4 Qtr CY</v>
      </c>
      <c r="G26" s="18"/>
      <c r="H26" s="107" t="s">
        <v>26</v>
      </c>
      <c r="I26" s="108" t="str">
        <f>U26</f>
        <v>Q4 2024</v>
      </c>
      <c r="J26" s="108" t="str">
        <f>U27</f>
        <v>Q4 2025</v>
      </c>
      <c r="K26" s="108" t="str">
        <f>U28</f>
        <v>Lst 4 Qtr PY</v>
      </c>
      <c r="L26" s="109" t="str">
        <f>U29</f>
        <v>Lst 4 Qtr CY</v>
      </c>
      <c r="M26" s="18"/>
      <c r="N26" s="107" t="s">
        <v>26</v>
      </c>
      <c r="O26" s="108" t="str">
        <f>I26</f>
        <v>Q4 2024</v>
      </c>
      <c r="P26" s="108" t="str">
        <f>J26</f>
        <v>Q4 2025</v>
      </c>
      <c r="Q26" s="108" t="str">
        <f>K26</f>
        <v>Lst 4 Qtr PY</v>
      </c>
      <c r="R26" s="109" t="str">
        <f>L26</f>
        <v>Lst 4 Qtr CY</v>
      </c>
      <c r="S26" s="18"/>
      <c r="T26" t="str">
        <f>U6</f>
        <v>Q4 2024</v>
      </c>
      <c r="U26" t="str">
        <f>U6</f>
        <v>Q4 2024</v>
      </c>
      <c r="V26" s="122">
        <f>'Data-PM vs PF'!D45</f>
        <v>2458.2723151</v>
      </c>
      <c r="W26" s="122">
        <f>'Data-PM vs PF'!E45</f>
        <v>313.39504829999998</v>
      </c>
      <c r="X26" s="5">
        <f>W26/V26</f>
        <v>0.12748589583625985</v>
      </c>
      <c r="Y26" s="76"/>
      <c r="Z26" s="74"/>
    </row>
    <row r="27" spans="1:28" x14ac:dyDescent="0.35">
      <c r="A27" s="18"/>
      <c r="B27" s="110" t="s">
        <v>27</v>
      </c>
      <c r="C27" s="100">
        <f>V26</f>
        <v>2458.2723151</v>
      </c>
      <c r="D27" s="100">
        <f>V27</f>
        <v>2563.4938290100004</v>
      </c>
      <c r="E27" s="100">
        <f>V28</f>
        <v>8319.0159017799997</v>
      </c>
      <c r="F27" s="111">
        <f>V29</f>
        <v>8756.3148650100011</v>
      </c>
      <c r="G27" s="18"/>
      <c r="H27" s="110" t="s">
        <v>27</v>
      </c>
      <c r="I27" s="100">
        <f>V6</f>
        <v>2473</v>
      </c>
      <c r="J27" s="100">
        <f>V7</f>
        <v>2673</v>
      </c>
      <c r="K27" s="100">
        <f>V8</f>
        <v>9781</v>
      </c>
      <c r="L27" s="111">
        <f>V9</f>
        <v>10130</v>
      </c>
      <c r="M27" s="18"/>
      <c r="N27" s="110" t="s">
        <v>27</v>
      </c>
      <c r="O27" s="100">
        <f>V16</f>
        <v>2820.3180000000002</v>
      </c>
      <c r="P27" s="100">
        <f>V17</f>
        <v>2846.0329999999999</v>
      </c>
      <c r="Q27" s="100">
        <f>V18</f>
        <v>11215.227999999999</v>
      </c>
      <c r="R27" s="111">
        <f>V19</f>
        <v>11427.449999999999</v>
      </c>
      <c r="S27" s="18"/>
      <c r="T27" t="str">
        <f>U7</f>
        <v>Q4 2025</v>
      </c>
      <c r="U27" t="str">
        <f>U7</f>
        <v>Q4 2025</v>
      </c>
      <c r="V27" s="122">
        <f>'Data-PM vs PF'!D49</f>
        <v>2563.4938290100004</v>
      </c>
      <c r="W27" s="122">
        <f>'Data-PM vs PF'!E49</f>
        <v>301.66528139999991</v>
      </c>
      <c r="X27" s="5">
        <f>W27/V27</f>
        <v>0.11767739714688547</v>
      </c>
      <c r="Y27" s="76"/>
      <c r="Z27" s="74"/>
    </row>
    <row r="28" spans="1:28" x14ac:dyDescent="0.35">
      <c r="A28" s="18"/>
      <c r="B28" s="110" t="s">
        <v>28</v>
      </c>
      <c r="C28" s="100">
        <f>W26</f>
        <v>313.39504829999998</v>
      </c>
      <c r="D28" s="100">
        <f>W27</f>
        <v>301.66528139999991</v>
      </c>
      <c r="E28" s="100">
        <f>W28</f>
        <v>1129.80652661</v>
      </c>
      <c r="F28" s="111">
        <f>W29</f>
        <v>1089.26695892</v>
      </c>
      <c r="G28" s="18"/>
      <c r="H28" s="110" t="s">
        <v>28</v>
      </c>
      <c r="I28" s="100">
        <f>W6</f>
        <v>283</v>
      </c>
      <c r="J28" s="100">
        <f>W7</f>
        <v>278</v>
      </c>
      <c r="K28" s="100">
        <f>W8</f>
        <v>1248</v>
      </c>
      <c r="L28" s="111">
        <f>W9</f>
        <v>1263</v>
      </c>
      <c r="M28" s="18"/>
      <c r="N28" s="110" t="s">
        <v>28</v>
      </c>
      <c r="O28" s="100">
        <f>W16</f>
        <v>257.97300000000001</v>
      </c>
      <c r="P28" s="100">
        <f>W17</f>
        <v>252.73099999999999</v>
      </c>
      <c r="Q28" s="100">
        <f>W18</f>
        <v>1117.365</v>
      </c>
      <c r="R28" s="111">
        <f>W19</f>
        <v>1045.328</v>
      </c>
      <c r="S28" s="18"/>
      <c r="T28" t="str">
        <f>'Data-PM vs PF'!B50</f>
        <v>Q1 - Q4</v>
      </c>
      <c r="U28" t="str">
        <f>'Data-PM vs PF'!C50</f>
        <v>Lst 4 Qtr PY</v>
      </c>
      <c r="V28" s="2">
        <f>'Data-PM vs PF'!D50</f>
        <v>8319.0159017799997</v>
      </c>
      <c r="W28" s="2">
        <f>'Data-PM vs PF'!E50</f>
        <v>1129.80652661</v>
      </c>
      <c r="X28" s="5">
        <f>W28/V28</f>
        <v>0.13581011744048452</v>
      </c>
      <c r="Y28" s="76"/>
      <c r="Z28" s="74"/>
    </row>
    <row r="29" spans="1:28" ht="15" thickBot="1" x14ac:dyDescent="0.4">
      <c r="A29" s="18"/>
      <c r="B29" s="112" t="s">
        <v>29</v>
      </c>
      <c r="C29" s="113">
        <f>C28/C27</f>
        <v>0.12748589583625985</v>
      </c>
      <c r="D29" s="113">
        <f>D28/D27</f>
        <v>0.11767739714688547</v>
      </c>
      <c r="E29" s="113">
        <f>E28/E27</f>
        <v>0.13581011744048452</v>
      </c>
      <c r="F29" s="114">
        <f>F28/F27</f>
        <v>0.12439787464389632</v>
      </c>
      <c r="G29" s="18"/>
      <c r="H29" s="112" t="s">
        <v>29</v>
      </c>
      <c r="I29" s="113">
        <f>I28/I27</f>
        <v>0.11443590780428629</v>
      </c>
      <c r="J29" s="113">
        <f>J28/J27</f>
        <v>0.10400299289188178</v>
      </c>
      <c r="K29" s="113">
        <f>K28/K27</f>
        <v>0.12759431550966158</v>
      </c>
      <c r="L29" s="114">
        <f>L28/L27</f>
        <v>0.12467917077986179</v>
      </c>
      <c r="M29" s="18"/>
      <c r="N29" s="112" t="s">
        <v>29</v>
      </c>
      <c r="O29" s="113">
        <f>O28/O27</f>
        <v>9.1469472591388629E-2</v>
      </c>
      <c r="P29" s="113">
        <f>P28/P27</f>
        <v>8.8801148827156964E-2</v>
      </c>
      <c r="Q29" s="113">
        <f>Q28/Q27</f>
        <v>9.962927191493566E-2</v>
      </c>
      <c r="R29" s="114">
        <f>R28/R27</f>
        <v>9.1475176001645161E-2</v>
      </c>
      <c r="S29" s="18"/>
      <c r="T29" t="str">
        <f>'Data-PM vs PF'!B51</f>
        <v>Q1 - Q4</v>
      </c>
      <c r="U29" t="str">
        <f>'Data-PM vs PF'!C51</f>
        <v>Lst 4 Qtr CY</v>
      </c>
      <c r="V29" s="2">
        <f>'Data-PM vs PF'!D51</f>
        <v>8756.3148650100011</v>
      </c>
      <c r="W29" s="2">
        <f>'Data-PM vs PF'!E51</f>
        <v>1089.26695892</v>
      </c>
      <c r="X29" s="5">
        <f>W29/V29</f>
        <v>0.12439787464389632</v>
      </c>
      <c r="Y29" s="76"/>
      <c r="Z29" s="74"/>
    </row>
    <row r="30" spans="1:28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6" t="s">
        <v>12</v>
      </c>
      <c r="U30" t="s">
        <v>30</v>
      </c>
      <c r="V30" s="116">
        <f>(V27-V26)/V26</f>
        <v>4.280303417309568E-2</v>
      </c>
      <c r="W30" s="116">
        <f t="shared" ref="W30:X30" si="1">(W27-W26)/W26</f>
        <v>-3.7428054347469E-2</v>
      </c>
      <c r="X30" s="115">
        <f t="shared" si="1"/>
        <v>-7.6937912425796617E-2</v>
      </c>
      <c r="Y30" s="80"/>
      <c r="Z30" s="80"/>
    </row>
    <row r="31" spans="1:28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U31" t="s">
        <v>14</v>
      </c>
      <c r="V31" s="116">
        <f>(V29-V28)/V28</f>
        <v>5.2566189125378832E-2</v>
      </c>
      <c r="W31" s="116">
        <f>(W29-W28)/W28</f>
        <v>-3.5881867147324366E-2</v>
      </c>
      <c r="X31" s="115">
        <f t="shared" ref="X31" si="2">(X29-X28)/X28</f>
        <v>-8.4030873484733856E-2</v>
      </c>
      <c r="Y31" s="80"/>
      <c r="Z31" s="80"/>
    </row>
    <row r="32" spans="1:28" ht="15.75" customHeight="1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R32" s="18"/>
      <c r="S32" s="18"/>
      <c r="T32" s="6"/>
      <c r="V32" s="5"/>
      <c r="W32" s="5"/>
      <c r="X32" s="5"/>
      <c r="Y32" s="5"/>
      <c r="Z32" s="5"/>
      <c r="AA32" s="3"/>
      <c r="AB32" s="3"/>
    </row>
    <row r="33" spans="1:30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V33" s="5"/>
      <c r="W33" s="5"/>
      <c r="X33" s="5"/>
      <c r="Y33" s="5"/>
      <c r="Z33" s="5"/>
      <c r="AA33" s="3"/>
      <c r="AB33" s="3"/>
    </row>
    <row r="34" spans="1:30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30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93"/>
      <c r="AA35" s="4"/>
      <c r="AB35" s="4"/>
      <c r="AC35" s="4"/>
      <c r="AD35" s="4"/>
    </row>
    <row r="36" spans="1:30" ht="5.25" customHeight="1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AA36" s="4"/>
      <c r="AC36" s="4"/>
      <c r="AD36" s="4"/>
    </row>
    <row r="38" spans="1:30" x14ac:dyDescent="0.35">
      <c r="AA38" s="16"/>
      <c r="AB38" s="16"/>
      <c r="AC38" s="16"/>
    </row>
  </sheetData>
  <pageMargins left="0.45" right="0.45" top="0.75" bottom="0.5" header="0.3" footer="0.3"/>
  <pageSetup orientation="landscape" r:id="rId1"/>
  <colBreaks count="1" manualBreakCount="1">
    <brk id="18" max="40" man="1"/>
  </colBreaks>
  <customProperties>
    <customPr name="_pios_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E802-2CBD-40BB-9901-4CBD6B9C8C3F}">
  <dimension ref="A1:XFC76"/>
  <sheetViews>
    <sheetView tabSelected="1" topLeftCell="A10" workbookViewId="0">
      <selection activeCell="E20" sqref="E20"/>
    </sheetView>
  </sheetViews>
  <sheetFormatPr defaultRowHeight="14.5" x14ac:dyDescent="0.35"/>
  <cols>
    <col min="1" max="1" width="10.7265625" customWidth="1"/>
    <col min="2" max="2" width="13.81640625" bestFit="1" customWidth="1"/>
    <col min="3" max="3" width="18.453125" customWidth="1"/>
    <col min="4" max="4" width="12.6328125" bestFit="1" customWidth="1"/>
    <col min="6" max="6" width="10.54296875" style="76" bestFit="1" customWidth="1"/>
    <col min="9" max="9" width="13.26953125" bestFit="1" customWidth="1"/>
    <col min="11" max="11" width="11" bestFit="1" customWidth="1"/>
    <col min="12" max="12" width="8" bestFit="1" customWidth="1"/>
    <col min="13" max="14" width="11" bestFit="1" customWidth="1"/>
    <col min="16" max="16" width="10.26953125" bestFit="1" customWidth="1"/>
    <col min="17" max="18" width="8.1796875" bestFit="1" customWidth="1"/>
    <col min="19" max="19" width="7.81640625" bestFit="1" customWidth="1"/>
    <col min="20" max="21" width="8.1796875" bestFit="1" customWidth="1"/>
    <col min="22" max="22" width="7.453125" bestFit="1" customWidth="1"/>
  </cols>
  <sheetData>
    <row r="1" spans="1:20 16383:16383" x14ac:dyDescent="0.35">
      <c r="A1" s="58" t="s">
        <v>82</v>
      </c>
    </row>
    <row r="2" spans="1:20 16383:16383" x14ac:dyDescent="0.35">
      <c r="A2" t="s">
        <v>83</v>
      </c>
      <c r="I2" s="90" t="s">
        <v>69</v>
      </c>
      <c r="J2" s="91" t="s">
        <v>68</v>
      </c>
      <c r="K2" s="91" t="s">
        <v>70</v>
      </c>
      <c r="L2" s="92" t="s">
        <v>71</v>
      </c>
      <c r="M2" s="91" t="s">
        <v>30</v>
      </c>
      <c r="N2" s="91" t="s">
        <v>13</v>
      </c>
      <c r="O2" s="91">
        <v>2022</v>
      </c>
    </row>
    <row r="3" spans="1:20 16383:16383" x14ac:dyDescent="0.35">
      <c r="A3" t="s">
        <v>34</v>
      </c>
      <c r="B3" s="16" t="s">
        <v>35</v>
      </c>
      <c r="C3" s="16" t="s">
        <v>36</v>
      </c>
      <c r="D3" s="16" t="s">
        <v>27</v>
      </c>
      <c r="E3" s="16" t="s">
        <v>28</v>
      </c>
      <c r="F3" s="77" t="s">
        <v>6</v>
      </c>
      <c r="I3" t="s">
        <v>65</v>
      </c>
      <c r="J3" s="16" t="s">
        <v>68</v>
      </c>
      <c r="K3" s="84" t="s">
        <v>44</v>
      </c>
      <c r="L3" s="87" t="s">
        <v>46</v>
      </c>
      <c r="M3" s="84" t="s">
        <v>48</v>
      </c>
      <c r="N3" s="84" t="s">
        <v>50</v>
      </c>
      <c r="O3" s="84" t="s">
        <v>72</v>
      </c>
    </row>
    <row r="4" spans="1:20 16383:16383" x14ac:dyDescent="0.35">
      <c r="A4" t="s">
        <v>1</v>
      </c>
      <c r="B4" t="s">
        <v>37</v>
      </c>
      <c r="C4" t="s">
        <v>38</v>
      </c>
      <c r="D4" s="73">
        <v>2164</v>
      </c>
      <c r="E4" s="73">
        <v>217</v>
      </c>
      <c r="F4" s="81"/>
      <c r="I4" t="s">
        <v>1</v>
      </c>
      <c r="J4" s="85" t="s">
        <v>44</v>
      </c>
      <c r="K4" s="85" t="s">
        <v>46</v>
      </c>
      <c r="L4" s="88" t="s">
        <v>48</v>
      </c>
      <c r="M4" s="85" t="s">
        <v>50</v>
      </c>
      <c r="N4" s="16" t="s">
        <v>73</v>
      </c>
      <c r="O4" s="85" t="s">
        <v>72</v>
      </c>
    </row>
    <row r="5" spans="1:20 16383:16383" x14ac:dyDescent="0.35">
      <c r="A5" t="s">
        <v>1</v>
      </c>
      <c r="B5" t="s">
        <v>39</v>
      </c>
      <c r="C5" t="s">
        <v>40</v>
      </c>
      <c r="D5" s="73">
        <v>2323</v>
      </c>
      <c r="E5" s="73">
        <v>150</v>
      </c>
      <c r="F5" s="81"/>
      <c r="I5" t="s">
        <v>15</v>
      </c>
      <c r="J5" s="86" t="s">
        <v>74</v>
      </c>
      <c r="K5" s="86" t="s">
        <v>75</v>
      </c>
      <c r="L5" s="89" t="s">
        <v>76</v>
      </c>
      <c r="M5" s="86" t="s">
        <v>77</v>
      </c>
      <c r="N5" s="16" t="s">
        <v>74</v>
      </c>
      <c r="O5" s="86" t="s">
        <v>72</v>
      </c>
    </row>
    <row r="6" spans="1:20 16383:16383" x14ac:dyDescent="0.35">
      <c r="A6" t="s">
        <v>1</v>
      </c>
      <c r="B6" t="s">
        <v>41</v>
      </c>
      <c r="C6" t="s">
        <v>42</v>
      </c>
      <c r="D6" s="73">
        <v>2253</v>
      </c>
      <c r="E6" s="73">
        <v>39</v>
      </c>
      <c r="F6" s="81"/>
      <c r="XFC6" s="73"/>
    </row>
    <row r="7" spans="1:20 16383:16383" x14ac:dyDescent="0.35">
      <c r="A7" t="s">
        <v>1</v>
      </c>
      <c r="B7" t="s">
        <v>84</v>
      </c>
      <c r="C7" t="s">
        <v>68</v>
      </c>
      <c r="D7" s="73">
        <v>2333</v>
      </c>
      <c r="E7" s="73">
        <v>186</v>
      </c>
      <c r="F7" s="81"/>
      <c r="XFC7" s="73"/>
    </row>
    <row r="8" spans="1:20 16383:16383" x14ac:dyDescent="0.35">
      <c r="A8" t="s">
        <v>1</v>
      </c>
      <c r="B8" t="s">
        <v>43</v>
      </c>
      <c r="C8" t="s">
        <v>44</v>
      </c>
      <c r="D8" s="73">
        <v>2393</v>
      </c>
      <c r="E8" s="73">
        <v>263</v>
      </c>
      <c r="F8" s="81"/>
    </row>
    <row r="9" spans="1:20 16383:16383" x14ac:dyDescent="0.35">
      <c r="A9" t="s">
        <v>1</v>
      </c>
      <c r="B9" t="s">
        <v>45</v>
      </c>
      <c r="C9" t="s">
        <v>46</v>
      </c>
      <c r="D9" s="73">
        <v>2447</v>
      </c>
      <c r="E9" s="73">
        <v>186</v>
      </c>
      <c r="F9" s="81"/>
    </row>
    <row r="10" spans="1:20 16383:16383" x14ac:dyDescent="0.35">
      <c r="A10" t="s">
        <v>1</v>
      </c>
      <c r="B10" t="s">
        <v>47</v>
      </c>
      <c r="C10" t="s">
        <v>48</v>
      </c>
      <c r="D10" s="73">
        <v>2516</v>
      </c>
      <c r="E10" s="73">
        <v>147</v>
      </c>
      <c r="F10" s="81"/>
    </row>
    <row r="11" spans="1:20 16383:16383" x14ac:dyDescent="0.35">
      <c r="A11" t="s">
        <v>1</v>
      </c>
      <c r="B11" t="s">
        <v>49</v>
      </c>
      <c r="C11" t="s">
        <v>50</v>
      </c>
      <c r="D11" s="73">
        <v>2538</v>
      </c>
      <c r="E11" s="73">
        <v>266</v>
      </c>
      <c r="F11" s="81"/>
    </row>
    <row r="12" spans="1:20 16383:16383" x14ac:dyDescent="0.35">
      <c r="A12" t="s">
        <v>1</v>
      </c>
      <c r="B12" t="s">
        <v>85</v>
      </c>
      <c r="C12" t="s">
        <v>73</v>
      </c>
      <c r="D12" s="73">
        <v>2422</v>
      </c>
      <c r="E12" s="120">
        <v>341</v>
      </c>
      <c r="F12" s="81"/>
      <c r="I12">
        <v>341</v>
      </c>
      <c r="J12">
        <v>336</v>
      </c>
      <c r="K12">
        <v>303</v>
      </c>
      <c r="L12">
        <v>238</v>
      </c>
      <c r="M12">
        <v>353</v>
      </c>
      <c r="N12">
        <v>323</v>
      </c>
      <c r="O12">
        <v>289</v>
      </c>
      <c r="P12">
        <v>283</v>
      </c>
      <c r="Q12">
        <v>322</v>
      </c>
      <c r="R12">
        <v>329</v>
      </c>
      <c r="S12">
        <v>334</v>
      </c>
      <c r="T12">
        <v>278</v>
      </c>
    </row>
    <row r="13" spans="1:20 16383:16383" x14ac:dyDescent="0.35">
      <c r="A13" t="s">
        <v>1</v>
      </c>
      <c r="B13" t="s">
        <v>86</v>
      </c>
      <c r="C13" t="s">
        <v>87</v>
      </c>
      <c r="D13" s="73">
        <v>2383</v>
      </c>
      <c r="E13" s="120">
        <v>336</v>
      </c>
      <c r="F13" s="81"/>
    </row>
    <row r="14" spans="1:20 16383:16383" x14ac:dyDescent="0.35">
      <c r="A14" t="s">
        <v>1</v>
      </c>
      <c r="B14" t="s">
        <v>88</v>
      </c>
      <c r="C14" t="s">
        <v>89</v>
      </c>
      <c r="D14" s="73">
        <v>2502</v>
      </c>
      <c r="E14" s="120">
        <v>303</v>
      </c>
      <c r="F14" s="81"/>
    </row>
    <row r="15" spans="1:20 16383:16383" x14ac:dyDescent="0.35">
      <c r="A15" t="s">
        <v>1</v>
      </c>
      <c r="B15" t="s">
        <v>90</v>
      </c>
      <c r="C15" t="s">
        <v>91</v>
      </c>
      <c r="D15" s="73">
        <v>2543</v>
      </c>
      <c r="E15" s="120">
        <v>238</v>
      </c>
      <c r="F15" s="81"/>
    </row>
    <row r="16" spans="1:20 16383:16383" x14ac:dyDescent="0.35">
      <c r="A16" t="s">
        <v>1</v>
      </c>
      <c r="B16" t="s">
        <v>92</v>
      </c>
      <c r="C16" t="s">
        <v>9</v>
      </c>
      <c r="D16" s="73">
        <v>2404</v>
      </c>
      <c r="E16" s="120">
        <v>353</v>
      </c>
      <c r="F16" s="81"/>
    </row>
    <row r="17" spans="1:6" x14ac:dyDescent="0.35">
      <c r="A17" t="s">
        <v>1</v>
      </c>
      <c r="B17" t="s">
        <v>93</v>
      </c>
      <c r="C17" t="s">
        <v>8</v>
      </c>
      <c r="D17" s="73">
        <v>2432</v>
      </c>
      <c r="E17" s="120">
        <v>323</v>
      </c>
      <c r="F17" s="81"/>
    </row>
    <row r="18" spans="1:6" x14ac:dyDescent="0.35">
      <c r="A18" t="s">
        <v>1</v>
      </c>
      <c r="B18" t="s">
        <v>94</v>
      </c>
      <c r="C18" t="s">
        <v>95</v>
      </c>
      <c r="D18" s="73">
        <v>2472</v>
      </c>
      <c r="E18" s="120">
        <v>289</v>
      </c>
      <c r="F18" s="81"/>
    </row>
    <row r="19" spans="1:6" x14ac:dyDescent="0.35">
      <c r="A19" t="s">
        <v>1</v>
      </c>
      <c r="B19" t="s">
        <v>96</v>
      </c>
      <c r="C19" t="s">
        <v>97</v>
      </c>
      <c r="D19" s="73">
        <v>2473</v>
      </c>
      <c r="E19" s="120">
        <v>283</v>
      </c>
      <c r="F19" s="81"/>
    </row>
    <row r="20" spans="1:6" x14ac:dyDescent="0.35">
      <c r="A20" t="s">
        <v>1</v>
      </c>
      <c r="B20" t="s">
        <v>98</v>
      </c>
      <c r="C20" t="s">
        <v>11</v>
      </c>
      <c r="D20" s="73">
        <v>2396</v>
      </c>
      <c r="E20" s="120">
        <v>322</v>
      </c>
      <c r="F20" s="81"/>
    </row>
    <row r="21" spans="1:6" x14ac:dyDescent="0.35">
      <c r="A21" t="s">
        <v>1</v>
      </c>
      <c r="B21" t="s">
        <v>185</v>
      </c>
      <c r="C21" t="s">
        <v>10</v>
      </c>
      <c r="D21" s="73">
        <v>2515</v>
      </c>
      <c r="E21" s="120">
        <v>329</v>
      </c>
      <c r="F21" s="81"/>
    </row>
    <row r="22" spans="1:6" x14ac:dyDescent="0.35">
      <c r="A22" t="s">
        <v>1</v>
      </c>
      <c r="B22" t="s">
        <v>189</v>
      </c>
      <c r="C22" t="s">
        <v>187</v>
      </c>
      <c r="D22" s="73">
        <v>2546</v>
      </c>
      <c r="E22" s="120">
        <v>334</v>
      </c>
      <c r="F22" s="81"/>
    </row>
    <row r="23" spans="1:6" x14ac:dyDescent="0.35">
      <c r="A23" t="s">
        <v>1</v>
      </c>
      <c r="B23" t="s">
        <v>194</v>
      </c>
      <c r="C23" t="s">
        <v>190</v>
      </c>
      <c r="D23" s="73">
        <v>2673</v>
      </c>
      <c r="E23" s="120">
        <v>278</v>
      </c>
      <c r="F23" s="81"/>
    </row>
    <row r="24" spans="1:6" x14ac:dyDescent="0.35">
      <c r="A24" t="s">
        <v>1</v>
      </c>
      <c r="B24" t="s">
        <v>21</v>
      </c>
      <c r="C24" t="s">
        <v>99</v>
      </c>
      <c r="D24" s="75">
        <f>SUM(D16:D19)</f>
        <v>9781</v>
      </c>
      <c r="E24" s="75">
        <f>SUM(E16:E19)</f>
        <v>1248</v>
      </c>
      <c r="F24" s="78"/>
    </row>
    <row r="25" spans="1:6" x14ac:dyDescent="0.35">
      <c r="A25" t="s">
        <v>1</v>
      </c>
      <c r="B25" t="s">
        <v>100</v>
      </c>
      <c r="C25" t="s">
        <v>101</v>
      </c>
      <c r="D25" s="75">
        <f>SUM(D20:D23)</f>
        <v>10130</v>
      </c>
      <c r="E25" s="75">
        <f>SUM(E20:E23)</f>
        <v>1263</v>
      </c>
      <c r="F25" s="78"/>
    </row>
    <row r="26" spans="1:6" x14ac:dyDescent="0.35">
      <c r="D26" s="3"/>
      <c r="E26" s="3"/>
      <c r="F26" s="78"/>
    </row>
    <row r="27" spans="1:6" x14ac:dyDescent="0.35">
      <c r="D27" s="3"/>
      <c r="E27" s="3"/>
      <c r="F27" s="78"/>
    </row>
    <row r="28" spans="1:6" x14ac:dyDescent="0.35">
      <c r="A28" t="s">
        <v>34</v>
      </c>
      <c r="B28" s="16" t="s">
        <v>35</v>
      </c>
      <c r="C28" s="16" t="s">
        <v>36</v>
      </c>
      <c r="D28" s="16" t="s">
        <v>27</v>
      </c>
      <c r="E28" s="16" t="s">
        <v>28</v>
      </c>
      <c r="F28" s="77" t="s">
        <v>6</v>
      </c>
    </row>
    <row r="29" spans="1:6" x14ac:dyDescent="0.35">
      <c r="A29" t="s">
        <v>65</v>
      </c>
      <c r="B29" t="s">
        <v>38</v>
      </c>
      <c r="C29" t="s">
        <v>67</v>
      </c>
      <c r="D29" s="3">
        <v>2171.6999999999998</v>
      </c>
      <c r="E29" s="3">
        <v>175.8</v>
      </c>
      <c r="F29" s="78"/>
    </row>
    <row r="30" spans="1:6" x14ac:dyDescent="0.35">
      <c r="A30" t="s">
        <v>65</v>
      </c>
      <c r="B30" t="s">
        <v>37</v>
      </c>
      <c r="C30" t="s">
        <v>38</v>
      </c>
      <c r="D30" s="3">
        <f>1916.527-36.626</f>
        <v>1879.9010000000001</v>
      </c>
      <c r="E30" s="3">
        <f>191.961-6.4</f>
        <v>185.56100000000001</v>
      </c>
      <c r="F30" s="78"/>
    </row>
    <row r="31" spans="1:6" x14ac:dyDescent="0.35">
      <c r="A31" t="s">
        <v>65</v>
      </c>
      <c r="B31" t="s">
        <v>39</v>
      </c>
      <c r="C31" t="s">
        <v>40</v>
      </c>
      <c r="D31" s="3">
        <f>1956.545-40.925</f>
        <v>1915.6200000000001</v>
      </c>
      <c r="E31" s="3">
        <f>163.5486262-5.96</f>
        <v>157.58862619999999</v>
      </c>
      <c r="F31" s="78"/>
    </row>
    <row r="32" spans="1:6" x14ac:dyDescent="0.35">
      <c r="A32" t="s">
        <v>65</v>
      </c>
      <c r="B32" t="s">
        <v>41</v>
      </c>
      <c r="C32" t="s">
        <v>42</v>
      </c>
      <c r="D32" s="3">
        <f>2077.078-40.154</f>
        <v>2036.924</v>
      </c>
      <c r="E32" s="3">
        <f>164.5937557-3.813</f>
        <v>160.78075570000001</v>
      </c>
      <c r="F32" s="78"/>
    </row>
    <row r="33" spans="1:22" x14ac:dyDescent="0.35">
      <c r="A33" t="s">
        <v>65</v>
      </c>
      <c r="B33" t="s">
        <v>42</v>
      </c>
      <c r="C33" t="s">
        <v>68</v>
      </c>
      <c r="D33" s="3">
        <f>2565.284-42.069</f>
        <v>2523.2150000000001</v>
      </c>
      <c r="E33" s="3">
        <f>358.4176896-4.67</f>
        <v>353.7476896</v>
      </c>
      <c r="F33" s="78"/>
    </row>
    <row r="34" spans="1:22" x14ac:dyDescent="0.35">
      <c r="A34" t="s">
        <v>65</v>
      </c>
      <c r="B34" t="s">
        <v>43</v>
      </c>
      <c r="C34" t="s">
        <v>44</v>
      </c>
      <c r="D34" s="3">
        <f>2233-48.168</f>
        <v>2184.8319999999999</v>
      </c>
      <c r="E34" s="3">
        <f>300.2-7.77</f>
        <v>292.43</v>
      </c>
      <c r="F34" s="78"/>
    </row>
    <row r="35" spans="1:22" x14ac:dyDescent="0.35">
      <c r="A35" t="s">
        <v>65</v>
      </c>
      <c r="B35" t="s">
        <v>45</v>
      </c>
      <c r="C35" t="s">
        <v>46</v>
      </c>
      <c r="D35" s="3">
        <f>2196.279-51.568</f>
        <v>2144.7109999999998</v>
      </c>
      <c r="E35" s="3">
        <f>235.699-6.48</f>
        <v>229.21900000000002</v>
      </c>
      <c r="F35" s="78"/>
    </row>
    <row r="36" spans="1:22" x14ac:dyDescent="0.35">
      <c r="A36" t="s">
        <v>65</v>
      </c>
      <c r="B36" t="s">
        <v>47</v>
      </c>
      <c r="C36" t="s">
        <v>48</v>
      </c>
      <c r="D36" s="3">
        <f>2195.2-51.979</f>
        <v>2143.221</v>
      </c>
      <c r="E36" s="3">
        <f>202.992-7.96</f>
        <v>195.03199999999998</v>
      </c>
      <c r="F36" s="78"/>
    </row>
    <row r="37" spans="1:22" x14ac:dyDescent="0.35">
      <c r="A37" t="s">
        <v>65</v>
      </c>
      <c r="B37" t="s">
        <v>49</v>
      </c>
      <c r="C37" t="s">
        <v>50</v>
      </c>
      <c r="D37" s="3">
        <f>2637.481-15.577</f>
        <v>2621.904</v>
      </c>
      <c r="E37" s="3">
        <f>308.019-2.08</f>
        <v>305.93900000000002</v>
      </c>
      <c r="F37" s="78"/>
      <c r="Q37" s="16"/>
      <c r="R37" s="16"/>
      <c r="S37" s="16"/>
      <c r="T37" s="16"/>
      <c r="U37" s="16"/>
      <c r="V37" s="16"/>
    </row>
    <row r="38" spans="1:22" x14ac:dyDescent="0.35">
      <c r="A38" t="s">
        <v>65</v>
      </c>
      <c r="B38" t="s">
        <v>85</v>
      </c>
      <c r="C38" t="s">
        <v>73</v>
      </c>
      <c r="D38" s="3">
        <v>2076</v>
      </c>
      <c r="E38" s="3">
        <v>300.54066478999999</v>
      </c>
      <c r="F38" s="78"/>
      <c r="Q38" s="16"/>
      <c r="R38" s="16"/>
      <c r="S38" s="16"/>
      <c r="T38" s="16"/>
      <c r="U38" s="16"/>
      <c r="V38" s="16"/>
    </row>
    <row r="39" spans="1:22" x14ac:dyDescent="0.35">
      <c r="A39" t="s">
        <v>65</v>
      </c>
      <c r="B39" t="s">
        <v>86</v>
      </c>
      <c r="C39" t="s">
        <v>87</v>
      </c>
      <c r="D39" s="3">
        <v>1871.6001537899999</v>
      </c>
      <c r="E39" s="3">
        <v>275.79107729000003</v>
      </c>
      <c r="F39" s="78"/>
      <c r="Q39" s="16"/>
      <c r="R39" s="16"/>
      <c r="S39" s="16"/>
      <c r="T39" s="16"/>
      <c r="U39" s="16"/>
      <c r="V39" s="16"/>
    </row>
    <row r="40" spans="1:22" x14ac:dyDescent="0.35">
      <c r="A40" t="s">
        <v>65</v>
      </c>
      <c r="B40" t="s">
        <v>88</v>
      </c>
      <c r="C40" t="s">
        <v>89</v>
      </c>
      <c r="D40" s="3">
        <v>1927.9831276</v>
      </c>
      <c r="E40" s="3">
        <v>183.68494659000001</v>
      </c>
      <c r="F40" s="78"/>
      <c r="Q40" s="16"/>
      <c r="R40" s="16"/>
      <c r="S40" s="16"/>
      <c r="T40" s="16"/>
      <c r="U40" s="16"/>
      <c r="V40" s="16"/>
    </row>
    <row r="41" spans="1:22" x14ac:dyDescent="0.35">
      <c r="A41" t="s">
        <v>65</v>
      </c>
      <c r="B41" t="s">
        <v>90</v>
      </c>
      <c r="C41" t="s">
        <v>91</v>
      </c>
      <c r="D41" s="3">
        <v>2404.3701207800004</v>
      </c>
      <c r="E41" s="3">
        <v>306.02961304000002</v>
      </c>
      <c r="F41" s="78"/>
      <c r="Q41" s="16"/>
      <c r="R41" s="16"/>
      <c r="S41" s="16"/>
      <c r="T41" s="16"/>
      <c r="U41" s="16"/>
      <c r="V41" s="16"/>
    </row>
    <row r="42" spans="1:22" x14ac:dyDescent="0.35">
      <c r="A42" t="s">
        <v>65</v>
      </c>
      <c r="B42" t="s">
        <v>92</v>
      </c>
      <c r="C42" t="s">
        <v>9</v>
      </c>
      <c r="D42" s="3">
        <v>1999.3755427399999</v>
      </c>
      <c r="E42" s="3">
        <v>285.60373851999998</v>
      </c>
      <c r="F42" s="78"/>
      <c r="Q42" s="16"/>
      <c r="R42" s="16"/>
      <c r="S42" s="16"/>
      <c r="T42" s="16"/>
      <c r="U42" s="16"/>
      <c r="V42" s="16"/>
    </row>
    <row r="43" spans="1:22" x14ac:dyDescent="0.35">
      <c r="A43" t="s">
        <v>65</v>
      </c>
      <c r="B43" t="s">
        <v>93</v>
      </c>
      <c r="C43" t="s">
        <v>8</v>
      </c>
      <c r="D43" s="3">
        <v>1944.6813895400001</v>
      </c>
      <c r="E43" s="3">
        <v>291.72618720999998</v>
      </c>
      <c r="F43" s="78"/>
      <c r="Q43" s="16"/>
      <c r="R43" s="16"/>
      <c r="S43" s="16"/>
      <c r="T43" s="16"/>
      <c r="U43" s="16"/>
      <c r="V43" s="16"/>
    </row>
    <row r="44" spans="1:22" x14ac:dyDescent="0.35">
      <c r="A44" t="s">
        <v>65</v>
      </c>
      <c r="B44" t="s">
        <v>94</v>
      </c>
      <c r="C44" t="s">
        <v>95</v>
      </c>
      <c r="D44" s="3">
        <v>1916.6866544</v>
      </c>
      <c r="E44" s="3">
        <v>239.08155257999999</v>
      </c>
      <c r="F44" s="78"/>
      <c r="Q44" s="16"/>
      <c r="R44" s="16"/>
      <c r="S44" s="16"/>
      <c r="T44" s="16"/>
      <c r="U44" s="16"/>
      <c r="V44" s="16"/>
    </row>
    <row r="45" spans="1:22" x14ac:dyDescent="0.35">
      <c r="A45" t="s">
        <v>65</v>
      </c>
      <c r="B45" t="s">
        <v>19</v>
      </c>
      <c r="C45" t="s">
        <v>97</v>
      </c>
      <c r="D45" s="3">
        <v>2458.2723151</v>
      </c>
      <c r="E45" s="3">
        <v>313.39504829999998</v>
      </c>
      <c r="F45" s="78"/>
      <c r="Q45" s="16"/>
      <c r="R45" s="16"/>
      <c r="S45" s="16"/>
      <c r="T45" s="16"/>
      <c r="U45" s="16"/>
      <c r="V45" s="16"/>
    </row>
    <row r="46" spans="1:22" x14ac:dyDescent="0.35">
      <c r="A46" t="s">
        <v>65</v>
      </c>
      <c r="B46" t="s">
        <v>18</v>
      </c>
      <c r="C46" t="s">
        <v>11</v>
      </c>
      <c r="D46" s="3">
        <v>2023.8010185000001</v>
      </c>
      <c r="E46" s="3">
        <v>265.56795670000002</v>
      </c>
      <c r="F46" s="78"/>
      <c r="Q46" s="16"/>
      <c r="R46" s="16"/>
      <c r="S46" s="16"/>
      <c r="T46" s="16"/>
      <c r="U46" s="16"/>
      <c r="V46" s="16"/>
    </row>
    <row r="47" spans="1:22" x14ac:dyDescent="0.35">
      <c r="A47" t="s">
        <v>65</v>
      </c>
      <c r="B47" t="s">
        <v>186</v>
      </c>
      <c r="C47" t="s">
        <v>10</v>
      </c>
      <c r="D47" s="3">
        <v>2079.0200175</v>
      </c>
      <c r="E47" s="3">
        <v>296.03372082000004</v>
      </c>
      <c r="F47" s="78"/>
      <c r="Q47" s="16"/>
      <c r="R47" s="16"/>
      <c r="S47" s="16"/>
      <c r="T47" s="16"/>
      <c r="U47" s="16"/>
      <c r="V47" s="16"/>
    </row>
    <row r="48" spans="1:22" x14ac:dyDescent="0.35">
      <c r="A48" t="s">
        <v>65</v>
      </c>
      <c r="B48" t="s">
        <v>189</v>
      </c>
      <c r="C48" t="s">
        <v>187</v>
      </c>
      <c r="D48" s="3">
        <v>2090</v>
      </c>
      <c r="E48" s="3">
        <v>226</v>
      </c>
      <c r="F48" s="78"/>
      <c r="Q48" s="16"/>
      <c r="R48" s="16"/>
      <c r="S48" s="16"/>
      <c r="T48" s="16"/>
      <c r="U48" s="16"/>
      <c r="V48" s="16"/>
    </row>
    <row r="49" spans="1:22" x14ac:dyDescent="0.35">
      <c r="A49" t="s">
        <v>65</v>
      </c>
      <c r="B49" t="s">
        <v>194</v>
      </c>
      <c r="C49" t="s">
        <v>190</v>
      </c>
      <c r="D49" s="121">
        <v>2563.4938290100004</v>
      </c>
      <c r="E49" s="121">
        <v>301.66528139999991</v>
      </c>
      <c r="F49" s="78"/>
      <c r="Q49" s="16"/>
      <c r="R49" s="16"/>
      <c r="S49" s="16"/>
      <c r="T49" s="16"/>
      <c r="U49" s="16"/>
      <c r="V49" s="16"/>
    </row>
    <row r="50" spans="1:22" x14ac:dyDescent="0.35">
      <c r="A50" t="s">
        <v>65</v>
      </c>
      <c r="B50" t="s">
        <v>62</v>
      </c>
      <c r="C50" t="s">
        <v>99</v>
      </c>
      <c r="D50" s="75">
        <f>SUM(D42:D45)</f>
        <v>8319.0159017799997</v>
      </c>
      <c r="E50" s="75">
        <f>SUM(E42:E45)</f>
        <v>1129.80652661</v>
      </c>
      <c r="F50" s="79">
        <f>F32+F31+F30+F29</f>
        <v>0</v>
      </c>
    </row>
    <row r="51" spans="1:22" x14ac:dyDescent="0.35">
      <c r="A51" t="s">
        <v>65</v>
      </c>
      <c r="B51" t="s">
        <v>62</v>
      </c>
      <c r="C51" t="s">
        <v>101</v>
      </c>
      <c r="D51" s="75">
        <f>SUM(D46:D49)</f>
        <v>8756.3148650100011</v>
      </c>
      <c r="E51" s="75">
        <f>SUM(E46:E49)</f>
        <v>1089.26695892</v>
      </c>
      <c r="F51" s="79">
        <f>F36+F35+F34+F33</f>
        <v>0</v>
      </c>
    </row>
    <row r="53" spans="1:22" x14ac:dyDescent="0.35">
      <c r="A53" t="s">
        <v>34</v>
      </c>
      <c r="B53" s="16" t="s">
        <v>102</v>
      </c>
      <c r="C53" s="16" t="s">
        <v>36</v>
      </c>
      <c r="D53" s="16" t="s">
        <v>27</v>
      </c>
      <c r="E53" s="16" t="s">
        <v>28</v>
      </c>
      <c r="I53" s="76"/>
    </row>
    <row r="54" spans="1:22" x14ac:dyDescent="0.35">
      <c r="A54" t="s">
        <v>15</v>
      </c>
      <c r="B54" t="s">
        <v>38</v>
      </c>
      <c r="C54" t="s">
        <v>67</v>
      </c>
      <c r="D54" s="117">
        <v>2262.4549999999999</v>
      </c>
      <c r="E54" s="117">
        <v>265.55399999999997</v>
      </c>
      <c r="I54" s="82"/>
    </row>
    <row r="55" spans="1:22" x14ac:dyDescent="0.35">
      <c r="A55" t="s">
        <v>15</v>
      </c>
      <c r="B55" t="s">
        <v>37</v>
      </c>
      <c r="C55" t="s">
        <v>38</v>
      </c>
      <c r="D55" s="117">
        <v>2415.8710000000001</v>
      </c>
      <c r="E55" s="118">
        <v>284.71600000000001</v>
      </c>
      <c r="F55" s="77"/>
      <c r="I55" s="83"/>
    </row>
    <row r="56" spans="1:22" x14ac:dyDescent="0.35">
      <c r="A56" t="s">
        <v>15</v>
      </c>
      <c r="B56" t="s">
        <v>39</v>
      </c>
      <c r="C56" t="s">
        <v>40</v>
      </c>
      <c r="D56" s="118">
        <v>2645.2440000000001</v>
      </c>
      <c r="E56" s="117">
        <v>240.93199999999999</v>
      </c>
      <c r="F56" s="39"/>
    </row>
    <row r="57" spans="1:22" x14ac:dyDescent="0.35">
      <c r="A57" t="s">
        <v>15</v>
      </c>
      <c r="B57" t="s">
        <v>41</v>
      </c>
      <c r="C57" t="s">
        <v>42</v>
      </c>
      <c r="D57" s="117">
        <v>3224.6819999999998</v>
      </c>
      <c r="E57" s="117">
        <v>330.91800000000001</v>
      </c>
      <c r="F57" s="39"/>
    </row>
    <row r="58" spans="1:22" x14ac:dyDescent="0.35">
      <c r="A58" t="s">
        <v>15</v>
      </c>
      <c r="B58" t="s">
        <v>84</v>
      </c>
      <c r="C58" t="s">
        <v>68</v>
      </c>
      <c r="D58" s="117">
        <v>2850.09</v>
      </c>
      <c r="E58" s="117">
        <v>304.45999999999998</v>
      </c>
      <c r="F58" s="39"/>
    </row>
    <row r="59" spans="1:22" x14ac:dyDescent="0.35">
      <c r="A59" t="s">
        <v>15</v>
      </c>
      <c r="B59" t="s">
        <v>43</v>
      </c>
      <c r="C59" t="s">
        <v>44</v>
      </c>
      <c r="D59" s="117">
        <v>2910.567</v>
      </c>
      <c r="E59" s="117">
        <v>326.113</v>
      </c>
      <c r="F59" s="39"/>
    </row>
    <row r="60" spans="1:22" x14ac:dyDescent="0.35">
      <c r="A60" t="s">
        <v>15</v>
      </c>
      <c r="B60" t="s">
        <v>45</v>
      </c>
      <c r="C60" t="s">
        <v>46</v>
      </c>
      <c r="D60" s="117">
        <v>2842.2240000000002</v>
      </c>
      <c r="E60" s="117">
        <v>291.89</v>
      </c>
    </row>
    <row r="61" spans="1:22" x14ac:dyDescent="0.35">
      <c r="A61" t="s">
        <v>15</v>
      </c>
      <c r="B61" t="s">
        <v>47</v>
      </c>
      <c r="C61" t="s">
        <v>48</v>
      </c>
      <c r="D61" s="117">
        <v>3076.1260000000002</v>
      </c>
      <c r="E61" s="117">
        <v>347.05500000000001</v>
      </c>
    </row>
    <row r="62" spans="1:22" x14ac:dyDescent="0.35">
      <c r="A62" t="s">
        <v>15</v>
      </c>
      <c r="B62" t="s">
        <v>49</v>
      </c>
      <c r="C62" t="s">
        <v>50</v>
      </c>
      <c r="D62" s="117">
        <v>2792.547</v>
      </c>
      <c r="E62" s="117">
        <v>291.11900000000003</v>
      </c>
    </row>
    <row r="63" spans="1:22" x14ac:dyDescent="0.35">
      <c r="A63" t="s">
        <v>15</v>
      </c>
      <c r="B63" t="s">
        <v>85</v>
      </c>
      <c r="C63" t="s">
        <v>73</v>
      </c>
      <c r="D63" s="117">
        <v>2797.6840000000002</v>
      </c>
      <c r="E63" s="117">
        <v>298.625</v>
      </c>
    </row>
    <row r="64" spans="1:22" x14ac:dyDescent="0.35">
      <c r="A64" t="s">
        <v>15</v>
      </c>
      <c r="B64" t="s">
        <v>86</v>
      </c>
      <c r="C64" t="s">
        <v>87</v>
      </c>
      <c r="D64" s="117">
        <v>2782.6950000000002</v>
      </c>
      <c r="E64" s="117">
        <v>297.39800000000002</v>
      </c>
    </row>
    <row r="65" spans="1:5" x14ac:dyDescent="0.35">
      <c r="A65" t="s">
        <v>15</v>
      </c>
      <c r="B65" t="s">
        <v>88</v>
      </c>
      <c r="C65" t="s">
        <v>89</v>
      </c>
      <c r="D65" s="117">
        <v>3015.6060000000002</v>
      </c>
      <c r="E65" s="117">
        <v>314.61399999999998</v>
      </c>
    </row>
    <row r="66" spans="1:5" x14ac:dyDescent="0.35">
      <c r="A66" t="s">
        <v>15</v>
      </c>
      <c r="B66" t="s">
        <v>90</v>
      </c>
      <c r="C66" t="s">
        <v>91</v>
      </c>
      <c r="D66" s="117">
        <v>2824.3589999999999</v>
      </c>
      <c r="E66" s="117">
        <v>299.66899999999998</v>
      </c>
    </row>
    <row r="67" spans="1:5" x14ac:dyDescent="0.35">
      <c r="A67" t="s">
        <v>15</v>
      </c>
      <c r="B67" t="s">
        <v>92</v>
      </c>
      <c r="C67" t="s">
        <v>9</v>
      </c>
      <c r="D67" s="117">
        <v>2720.5590000000002</v>
      </c>
      <c r="E67" s="117">
        <v>281.70100000000002</v>
      </c>
    </row>
    <row r="68" spans="1:5" x14ac:dyDescent="0.35">
      <c r="A68" t="s">
        <v>15</v>
      </c>
      <c r="B68" t="s">
        <v>93</v>
      </c>
      <c r="C68" t="s">
        <v>8</v>
      </c>
      <c r="D68" s="117">
        <v>2721.2719999999999</v>
      </c>
      <c r="E68" s="117">
        <v>270.41899999999998</v>
      </c>
    </row>
    <row r="69" spans="1:5" x14ac:dyDescent="0.35">
      <c r="A69" t="s">
        <v>15</v>
      </c>
      <c r="B69" t="s">
        <v>94</v>
      </c>
      <c r="C69" t="s">
        <v>95</v>
      </c>
      <c r="D69" s="117">
        <v>2953.0790000000002</v>
      </c>
      <c r="E69" s="117">
        <v>307.27199999999999</v>
      </c>
    </row>
    <row r="70" spans="1:5" x14ac:dyDescent="0.35">
      <c r="A70" t="s">
        <v>15</v>
      </c>
      <c r="B70" t="s">
        <v>96</v>
      </c>
      <c r="C70" t="s">
        <v>97</v>
      </c>
      <c r="D70" s="117">
        <v>2820.3180000000002</v>
      </c>
      <c r="E70" s="117">
        <v>257.97300000000001</v>
      </c>
    </row>
    <row r="71" spans="1:5" x14ac:dyDescent="0.35">
      <c r="A71" t="s">
        <v>15</v>
      </c>
      <c r="B71" t="s">
        <v>98</v>
      </c>
      <c r="C71" t="s">
        <v>11</v>
      </c>
      <c r="D71" s="117">
        <v>2724.998</v>
      </c>
      <c r="E71" s="117">
        <v>277.76799999999997</v>
      </c>
    </row>
    <row r="72" spans="1:5" x14ac:dyDescent="0.35">
      <c r="A72" t="s">
        <v>15</v>
      </c>
      <c r="B72" t="s">
        <v>185</v>
      </c>
      <c r="C72" t="s">
        <v>10</v>
      </c>
      <c r="D72" s="117">
        <v>2845.41</v>
      </c>
      <c r="E72" s="117">
        <v>263.27699999999999</v>
      </c>
    </row>
    <row r="73" spans="1:5" x14ac:dyDescent="0.35">
      <c r="A73" t="s">
        <v>15</v>
      </c>
      <c r="B73" t="s">
        <v>189</v>
      </c>
      <c r="C73" t="s">
        <v>187</v>
      </c>
      <c r="D73" s="117">
        <v>3011.009</v>
      </c>
      <c r="E73" s="117">
        <v>251.55199999999999</v>
      </c>
    </row>
    <row r="74" spans="1:5" x14ac:dyDescent="0.35">
      <c r="A74" s="119" t="s">
        <v>15</v>
      </c>
      <c r="B74" s="119" t="s">
        <v>194</v>
      </c>
      <c r="C74" s="119" t="s">
        <v>190</v>
      </c>
      <c r="D74" s="123">
        <v>2846.0329999999999</v>
      </c>
      <c r="E74" s="123">
        <v>252.73099999999999</v>
      </c>
    </row>
    <row r="75" spans="1:5" x14ac:dyDescent="0.35">
      <c r="A75" t="s">
        <v>15</v>
      </c>
      <c r="B75" t="s">
        <v>62</v>
      </c>
      <c r="C75" t="s">
        <v>99</v>
      </c>
      <c r="D75" s="75">
        <f>SUM(D67:D70)</f>
        <v>11215.227999999999</v>
      </c>
      <c r="E75" s="75">
        <f>SUM(E67:E70)</f>
        <v>1117.365</v>
      </c>
    </row>
    <row r="76" spans="1:5" x14ac:dyDescent="0.35">
      <c r="A76" t="s">
        <v>15</v>
      </c>
      <c r="B76" t="s">
        <v>62</v>
      </c>
      <c r="C76" t="s">
        <v>101</v>
      </c>
      <c r="D76" s="75">
        <f>SUM(D71:D74)</f>
        <v>11427.449999999999</v>
      </c>
      <c r="E76" s="75">
        <f>SUM(E71:E74)</f>
        <v>1045.328</v>
      </c>
    </row>
  </sheetData>
  <phoneticPr fontId="4" type="noConversion"/>
  <pageMargins left="0.7" right="0.7" top="0.75" bottom="0.75" header="0.3" footer="0.3"/>
  <customProperties>
    <customPr name="_pios_id" r:id="rId1"/>
  </customProperties>
  <ignoredErrors>
    <ignoredError sqref="E75:E76 D75:D76 D50:E50 D24:E25 D51:E5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BF72-DD78-49BC-8FEF-E9BB7CB0F2D1}">
  <dimension ref="A1:Y57"/>
  <sheetViews>
    <sheetView zoomScaleNormal="100" workbookViewId="0">
      <selection activeCell="R15" sqref="R15"/>
    </sheetView>
  </sheetViews>
  <sheetFormatPr defaultRowHeight="14.5" x14ac:dyDescent="0.35"/>
  <cols>
    <col min="2" max="6" width="11.7265625" customWidth="1"/>
    <col min="7" max="7" width="1.453125" customWidth="1"/>
    <col min="8" max="12" width="11.7265625" customWidth="1"/>
    <col min="13" max="13" width="9.54296875" customWidth="1"/>
    <col min="14" max="14" width="12.453125" bestFit="1" customWidth="1"/>
    <col min="15" max="15" width="11.453125" bestFit="1" customWidth="1"/>
    <col min="16" max="16" width="12.54296875" bestFit="1" customWidth="1"/>
    <col min="17" max="18" width="14.81640625" bestFit="1" customWidth="1"/>
    <col min="19" max="19" width="8.453125" bestFit="1" customWidth="1"/>
    <col min="20" max="20" width="9.453125" bestFit="1" customWidth="1"/>
    <col min="21" max="21" width="8.453125" bestFit="1" customWidth="1"/>
  </cols>
  <sheetData>
    <row r="1" spans="1:22" x14ac:dyDescent="0.35">
      <c r="A1" s="18"/>
      <c r="B1" s="19" t="s">
        <v>103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22" x14ac:dyDescent="0.35">
      <c r="A2" s="18"/>
      <c r="B2" s="18" t="s">
        <v>104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22" x14ac:dyDescent="0.35">
      <c r="A3" s="18"/>
      <c r="B3" s="18" t="s">
        <v>105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22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22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22" ht="15" thickBot="1" x14ac:dyDescent="0.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9" t="s">
        <v>1</v>
      </c>
      <c r="O6" s="9" t="s">
        <v>2</v>
      </c>
      <c r="P6" s="10" t="s">
        <v>3</v>
      </c>
      <c r="Q6" s="10" t="s">
        <v>4</v>
      </c>
      <c r="R6" s="10" t="s">
        <v>4</v>
      </c>
      <c r="S6" s="10" t="s">
        <v>5</v>
      </c>
      <c r="T6" s="10" t="s">
        <v>6</v>
      </c>
      <c r="U6" s="10" t="s">
        <v>7</v>
      </c>
    </row>
    <row r="7" spans="1:22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t="s">
        <v>38</v>
      </c>
      <c r="O7" t="s">
        <v>106</v>
      </c>
      <c r="P7" s="2">
        <f>'Data-Cons'!D5</f>
        <v>4038</v>
      </c>
      <c r="Q7" s="2">
        <f>'Data-Cons'!E5</f>
        <v>217</v>
      </c>
      <c r="R7" s="2" t="e">
        <f>'Data-Cons'!#REF!</f>
        <v>#REF!</v>
      </c>
      <c r="S7" s="5">
        <f>Q7/P7</f>
        <v>5.3739474987617636E-2</v>
      </c>
      <c r="T7" s="76"/>
      <c r="U7" s="16" t="e">
        <f>P7/T7*100</f>
        <v>#DIV/0!</v>
      </c>
    </row>
    <row r="8" spans="1:22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t="s">
        <v>44</v>
      </c>
      <c r="O8" t="s">
        <v>107</v>
      </c>
      <c r="P8" s="2">
        <f>'Data-Cons'!D8</f>
        <v>4066</v>
      </c>
      <c r="Q8" s="2">
        <f>'Data-Cons'!E8</f>
        <v>211</v>
      </c>
      <c r="R8" s="2" t="e">
        <f>'Data-Cons'!#REF!</f>
        <v>#REF!</v>
      </c>
      <c r="S8" s="5">
        <f t="shared" ref="S8" si="0">Q8/P8</f>
        <v>5.1893753074274469E-2</v>
      </c>
      <c r="T8" s="76"/>
      <c r="U8" s="74" t="e">
        <f t="shared" ref="U8" si="1">P8/T8*100</f>
        <v>#DIV/0!</v>
      </c>
    </row>
    <row r="9" spans="1:22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t="s">
        <v>38</v>
      </c>
      <c r="O9" t="s">
        <v>108</v>
      </c>
      <c r="P9" s="2">
        <v>1624.6410000000001</v>
      </c>
      <c r="Q9" s="2">
        <v>153.21600000000001</v>
      </c>
      <c r="R9" s="2">
        <v>153.21600000000001</v>
      </c>
      <c r="S9" s="5">
        <v>9.4307603956812619E-2</v>
      </c>
      <c r="T9" s="76">
        <v>591.14300000000003</v>
      </c>
      <c r="U9" s="74">
        <v>274.83045557504698</v>
      </c>
    </row>
    <row r="10" spans="1:22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t="s">
        <v>44</v>
      </c>
      <c r="O10" t="s">
        <v>109</v>
      </c>
      <c r="P10" s="2">
        <v>1660.2570000000001</v>
      </c>
      <c r="Q10" s="2">
        <v>177.10900000000001</v>
      </c>
      <c r="R10" s="2">
        <v>177.10900000000001</v>
      </c>
      <c r="S10" s="5">
        <v>0.10667565322718109</v>
      </c>
      <c r="T10" s="76">
        <v>484.27100000000002</v>
      </c>
      <c r="U10" s="74">
        <v>342.83634576507779</v>
      </c>
    </row>
    <row r="11" spans="1:22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t="s">
        <v>40</v>
      </c>
      <c r="O11" t="s">
        <v>110</v>
      </c>
      <c r="P11" s="2">
        <v>1956.5</v>
      </c>
      <c r="Q11" s="2">
        <v>163.5</v>
      </c>
      <c r="R11" s="2">
        <v>169</v>
      </c>
      <c r="S11" s="5">
        <v>8.6378737541528236E-2</v>
      </c>
      <c r="T11">
        <v>700.97386437399996</v>
      </c>
      <c r="U11">
        <v>279.11169009806656</v>
      </c>
    </row>
    <row r="12" spans="1:22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t="s">
        <v>46</v>
      </c>
      <c r="O12" t="s">
        <v>111</v>
      </c>
      <c r="P12" s="2">
        <v>2196.3000000000002</v>
      </c>
      <c r="Q12" s="2">
        <v>235.7</v>
      </c>
      <c r="R12" s="2">
        <v>220.7</v>
      </c>
      <c r="S12" s="5">
        <v>0.10048718298957336</v>
      </c>
      <c r="T12">
        <v>703.17995246800001</v>
      </c>
      <c r="U12">
        <v>312.33825598859755</v>
      </c>
    </row>
    <row r="13" spans="1:22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P13" s="80"/>
      <c r="Q13" s="80"/>
      <c r="R13" s="80"/>
      <c r="S13" s="80"/>
      <c r="T13" s="80"/>
      <c r="U13" s="80"/>
      <c r="V13" s="73"/>
    </row>
    <row r="14" spans="1:22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22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22" ht="6.75" customHeigh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21" ht="15" customHeight="1" thickBot="1" x14ac:dyDescent="0.4">
      <c r="A17" s="18"/>
      <c r="B17" s="26" t="s">
        <v>112</v>
      </c>
      <c r="C17" s="24"/>
      <c r="D17" s="24"/>
      <c r="E17" s="25" t="s">
        <v>113</v>
      </c>
      <c r="F17" s="27" t="s">
        <v>114</v>
      </c>
      <c r="G17" s="20"/>
      <c r="H17" s="26" t="s">
        <v>115</v>
      </c>
      <c r="I17" s="25" t="str">
        <f>O41</f>
        <v>Q2 2021</v>
      </c>
      <c r="J17" s="25" t="str">
        <f>O42</f>
        <v>Q2 2022</v>
      </c>
      <c r="K17" s="25" t="str">
        <f>O43</f>
        <v>Lst 3 Qtr 21</v>
      </c>
      <c r="L17" s="27" t="str">
        <f>O44</f>
        <v>Lst 3 Qtr 22</v>
      </c>
      <c r="M17" s="18"/>
    </row>
    <row r="18" spans="1:21" x14ac:dyDescent="0.35">
      <c r="A18" s="18"/>
      <c r="B18" s="28" t="s">
        <v>116</v>
      </c>
      <c r="C18" s="13"/>
      <c r="D18" s="13"/>
      <c r="E18" s="15">
        <f>T12</f>
        <v>703.17995246800001</v>
      </c>
      <c r="F18" s="32">
        <f>U12</f>
        <v>312.33825598859755</v>
      </c>
      <c r="G18" s="18"/>
      <c r="H18" s="28" t="s">
        <v>27</v>
      </c>
      <c r="I18" s="22">
        <f>P7</f>
        <v>4038</v>
      </c>
      <c r="J18" s="22">
        <f>P8</f>
        <v>4066</v>
      </c>
      <c r="K18" s="22">
        <f>P9</f>
        <v>1624.6410000000001</v>
      </c>
      <c r="L18" s="29">
        <f>P10</f>
        <v>1660.2570000000001</v>
      </c>
      <c r="M18" s="18"/>
    </row>
    <row r="19" spans="1:21" x14ac:dyDescent="0.35">
      <c r="A19" s="18"/>
      <c r="B19" s="33" t="s">
        <v>117</v>
      </c>
      <c r="C19" s="14"/>
      <c r="D19" s="14"/>
      <c r="E19" s="34">
        <f>T13</f>
        <v>0</v>
      </c>
      <c r="F19" s="35">
        <f>U13</f>
        <v>0</v>
      </c>
      <c r="G19" s="18"/>
      <c r="H19" s="28" t="s">
        <v>118</v>
      </c>
      <c r="I19" s="22">
        <f>Q7</f>
        <v>217</v>
      </c>
      <c r="J19" s="22">
        <f>Q8</f>
        <v>211</v>
      </c>
      <c r="K19" s="22">
        <f>Q9</f>
        <v>153.21600000000001</v>
      </c>
      <c r="L19" s="29">
        <f>Q10</f>
        <v>177.10900000000001</v>
      </c>
      <c r="M19" s="18"/>
    </row>
    <row r="20" spans="1:21" x14ac:dyDescent="0.35">
      <c r="A20" s="18"/>
      <c r="B20" s="18"/>
      <c r="C20" s="18"/>
      <c r="D20" s="18"/>
      <c r="E20" s="18"/>
      <c r="F20" s="18"/>
      <c r="G20" s="18"/>
      <c r="H20" s="30" t="s">
        <v>119</v>
      </c>
      <c r="I20" s="23">
        <f>I19/I18</f>
        <v>5.3739474987617636E-2</v>
      </c>
      <c r="J20" s="23">
        <f>J19/J18</f>
        <v>5.1893753074274469E-2</v>
      </c>
      <c r="K20" s="23">
        <f>K19/K18</f>
        <v>9.4307603956812619E-2</v>
      </c>
      <c r="L20" s="31">
        <f>L19/L18</f>
        <v>0.10667565322718109</v>
      </c>
      <c r="M20" s="18"/>
    </row>
    <row r="21" spans="1:21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2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21" ht="15" thickBot="1" x14ac:dyDescent="0.4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9" t="s">
        <v>15</v>
      </c>
      <c r="O23" s="9" t="s">
        <v>2</v>
      </c>
      <c r="P23" s="10" t="s">
        <v>120</v>
      </c>
      <c r="Q23" s="10" t="s">
        <v>121</v>
      </c>
      <c r="R23" s="10" t="s">
        <v>121</v>
      </c>
      <c r="S23" s="10" t="s">
        <v>5</v>
      </c>
      <c r="T23" s="10" t="s">
        <v>6</v>
      </c>
      <c r="U23" s="10" t="s">
        <v>7</v>
      </c>
    </row>
    <row r="24" spans="1:2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t="s">
        <v>38</v>
      </c>
      <c r="O24" t="s">
        <v>40</v>
      </c>
      <c r="P24" s="2">
        <f>'Data-Cons'!E45</f>
        <v>141.15651904484699</v>
      </c>
      <c r="Q24" s="2">
        <f>'Data-Cons'!E46</f>
        <v>170.17560081888999</v>
      </c>
      <c r="R24" s="2" t="e">
        <f>'Data-Cons'!#REF!</f>
        <v>#REF!</v>
      </c>
      <c r="S24" s="5">
        <f>Q24/P24</f>
        <v>1.20558088262876</v>
      </c>
      <c r="T24" s="76">
        <f>'Data-Cons'!F46</f>
        <v>0</v>
      </c>
      <c r="U24" s="74" t="e">
        <f>P24/T24*100</f>
        <v>#DIV/0!</v>
      </c>
    </row>
    <row r="25" spans="1:2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t="s">
        <v>44</v>
      </c>
      <c r="O25" t="s">
        <v>46</v>
      </c>
      <c r="P25" s="2">
        <f>'Data-Cons'!D45</f>
        <v>2127.4864943421098</v>
      </c>
      <c r="Q25" s="2" t="e">
        <f>'Data-Cons'!#REF!</f>
        <v>#REF!</v>
      </c>
      <c r="R25" s="2" t="e">
        <f>'Data-Cons'!#REF!</f>
        <v>#REF!</v>
      </c>
      <c r="S25" s="5" t="e">
        <f>Q25/P25</f>
        <v>#REF!</v>
      </c>
      <c r="T25" s="76">
        <f>'Data-Cons'!F45</f>
        <v>0</v>
      </c>
      <c r="U25" s="74" t="e">
        <f t="shared" ref="U25:U26" si="2">P25/T25*100</f>
        <v>#DIV/0!</v>
      </c>
    </row>
    <row r="26" spans="1:2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t="s">
        <v>52</v>
      </c>
      <c r="O26" t="s">
        <v>60</v>
      </c>
      <c r="P26" s="2">
        <f>'Data-Cons'!D44</f>
        <v>5728.6087656529699</v>
      </c>
      <c r="Q26" s="2">
        <f>'Data-Cons'!E44</f>
        <v>555.89990545117803</v>
      </c>
      <c r="R26" s="2" t="e">
        <f>'Data-Cons'!#REF!</f>
        <v>#REF!</v>
      </c>
      <c r="S26" s="5">
        <f>Q26/P26</f>
        <v>9.7039251272348734E-2</v>
      </c>
      <c r="T26" s="76">
        <f>'Data-Cons'!F44</f>
        <v>0</v>
      </c>
      <c r="U26" s="74" t="e">
        <f t="shared" si="2"/>
        <v>#DIV/0!</v>
      </c>
    </row>
    <row r="27" spans="1:21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t="s">
        <v>56</v>
      </c>
      <c r="O27" t="s">
        <v>61</v>
      </c>
      <c r="P27" s="2">
        <f>'Data-Cons'!D43</f>
        <v>6149.1163771048195</v>
      </c>
      <c r="Q27" s="2">
        <f>'Data-Cons'!E43</f>
        <v>579.44621131095664</v>
      </c>
      <c r="R27" s="2" t="e">
        <f>'Data-Cons'!#REF!</f>
        <v>#REF!</v>
      </c>
      <c r="S27" s="5">
        <f>Q27/P27</f>
        <v>9.4232435324923314E-2</v>
      </c>
      <c r="T27" s="76">
        <f>'Data-Cons'!F43</f>
        <v>0</v>
      </c>
      <c r="U27" s="74" t="e">
        <f>P27/T27*100</f>
        <v>#DIV/0!</v>
      </c>
    </row>
    <row r="28" spans="1:21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P28" s="2"/>
      <c r="Q28" s="2"/>
      <c r="R28" s="2"/>
      <c r="S28" s="5"/>
    </row>
    <row r="29" spans="1:21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6" t="s">
        <v>12</v>
      </c>
      <c r="O29" t="s">
        <v>71</v>
      </c>
      <c r="P29" s="80">
        <f>(P25-P24)/P24</f>
        <v>14.071826003772335</v>
      </c>
      <c r="Q29" s="80" t="e">
        <f>(Q25-Q24)/Q24</f>
        <v>#REF!</v>
      </c>
      <c r="R29" s="80" t="e">
        <f>(R25-R24)/R24</f>
        <v>#REF!</v>
      </c>
      <c r="S29" s="80" t="e">
        <f t="shared" ref="S29" si="3">(S25-S24)/S24</f>
        <v>#REF!</v>
      </c>
      <c r="T29" s="80" t="e">
        <f>(T25-T24)/T24</f>
        <v>#DIV/0!</v>
      </c>
      <c r="U29" s="80" t="e">
        <f>(U25-U24)/U24</f>
        <v>#DIV/0!</v>
      </c>
    </row>
    <row r="30" spans="1:21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O30" t="s">
        <v>122</v>
      </c>
      <c r="P30" s="80">
        <f>(P27-P26)/P26</f>
        <v>7.3404840276942621E-2</v>
      </c>
      <c r="Q30" s="80">
        <f>(Q27-Q26)/Q26</f>
        <v>4.2357096356524869E-2</v>
      </c>
      <c r="R30" s="80" t="e">
        <f>(R27-R26)/R26</f>
        <v>#REF!</v>
      </c>
      <c r="S30" s="80">
        <f t="shared" ref="S30:U30" si="4">(S27-S26)/S26</f>
        <v>-2.8924542498250091E-2</v>
      </c>
      <c r="T30" s="80" t="e">
        <f>(T27-T26)/T26</f>
        <v>#DIV/0!</v>
      </c>
      <c r="U30" s="80" t="e">
        <f t="shared" si="4"/>
        <v>#DIV/0!</v>
      </c>
    </row>
    <row r="31" spans="1:21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21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21" ht="5.25" customHeight="1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21" ht="15" thickBot="1" x14ac:dyDescent="0.4">
      <c r="A34" s="18"/>
      <c r="B34" s="26" t="s">
        <v>112</v>
      </c>
      <c r="C34" s="24"/>
      <c r="D34" s="24"/>
      <c r="E34" s="25" t="s">
        <v>113</v>
      </c>
      <c r="F34" s="27" t="s">
        <v>114</v>
      </c>
      <c r="G34" s="20"/>
      <c r="H34" s="26" t="s">
        <v>115</v>
      </c>
      <c r="I34" s="25" t="str">
        <f>I17</f>
        <v>Q2 2021</v>
      </c>
      <c r="J34" s="25" t="str">
        <f>J17</f>
        <v>Q2 2022</v>
      </c>
      <c r="K34" s="25" t="str">
        <f>K17</f>
        <v>Lst 3 Qtr 21</v>
      </c>
      <c r="L34" s="25" t="str">
        <f>L17</f>
        <v>Lst 3 Qtr 22</v>
      </c>
      <c r="M34" s="18"/>
    </row>
    <row r="35" spans="1:21" x14ac:dyDescent="0.35">
      <c r="A35" s="18"/>
      <c r="B35" s="28" t="s">
        <v>116</v>
      </c>
      <c r="C35" s="13"/>
      <c r="D35" s="13"/>
      <c r="E35" s="15" t="e">
        <f>T29</f>
        <v>#DIV/0!</v>
      </c>
      <c r="F35" s="32" t="e">
        <f>U29</f>
        <v>#DIV/0!</v>
      </c>
      <c r="G35" s="18"/>
      <c r="H35" s="28" t="s">
        <v>27</v>
      </c>
      <c r="I35" s="22">
        <f>P24</f>
        <v>141.15651904484699</v>
      </c>
      <c r="J35" s="22">
        <f>P25</f>
        <v>2127.4864943421098</v>
      </c>
      <c r="K35" s="22">
        <f>P26</f>
        <v>5728.6087656529699</v>
      </c>
      <c r="L35" s="29">
        <f>P27</f>
        <v>6149.1163771048195</v>
      </c>
      <c r="M35" s="18"/>
    </row>
    <row r="36" spans="1:21" x14ac:dyDescent="0.35">
      <c r="A36" s="18"/>
      <c r="B36" s="33" t="s">
        <v>117</v>
      </c>
      <c r="C36" s="14"/>
      <c r="D36" s="14"/>
      <c r="E36" s="34" t="e">
        <f>T30</f>
        <v>#DIV/0!</v>
      </c>
      <c r="F36" s="35" t="e">
        <f>U30</f>
        <v>#DIV/0!</v>
      </c>
      <c r="G36" s="18"/>
      <c r="H36" s="28" t="s">
        <v>118</v>
      </c>
      <c r="I36" s="22">
        <f>Q24</f>
        <v>170.17560081888999</v>
      </c>
      <c r="J36" s="22" t="e">
        <f>Q25</f>
        <v>#REF!</v>
      </c>
      <c r="K36" s="22">
        <f>Q26</f>
        <v>555.89990545117803</v>
      </c>
      <c r="L36" s="29">
        <f>Q27</f>
        <v>579.44621131095664</v>
      </c>
      <c r="M36" s="18"/>
    </row>
    <row r="37" spans="1:21" x14ac:dyDescent="0.35">
      <c r="A37" s="18"/>
      <c r="B37" s="18"/>
      <c r="C37" s="18"/>
      <c r="D37" s="18"/>
      <c r="E37" s="18"/>
      <c r="F37" s="18"/>
      <c r="G37" s="18"/>
      <c r="H37" s="30" t="s">
        <v>119</v>
      </c>
      <c r="I37" s="23">
        <f>I36/I35</f>
        <v>1.20558088262876</v>
      </c>
      <c r="J37" s="23" t="e">
        <f>J36/J35</f>
        <v>#REF!</v>
      </c>
      <c r="K37" s="23">
        <f>K36/K35</f>
        <v>9.7039251272348734E-2</v>
      </c>
      <c r="L37" s="31">
        <f>L36/L35</f>
        <v>9.4232435324923314E-2</v>
      </c>
      <c r="M37" s="18"/>
      <c r="N37" s="93"/>
    </row>
    <row r="38" spans="1:21" ht="9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21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21" ht="15" thickBot="1" x14ac:dyDescent="0.4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9" t="s">
        <v>22</v>
      </c>
      <c r="O40" s="9" t="s">
        <v>2</v>
      </c>
      <c r="P40" s="10" t="s">
        <v>23</v>
      </c>
      <c r="Q40" s="10" t="s">
        <v>24</v>
      </c>
      <c r="R40" s="10" t="s">
        <v>123</v>
      </c>
      <c r="S40" s="10" t="s">
        <v>5</v>
      </c>
      <c r="T40" s="10" t="s">
        <v>6</v>
      </c>
      <c r="U40" s="10" t="s">
        <v>7</v>
      </c>
    </row>
    <row r="41" spans="1:2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t="s">
        <v>40</v>
      </c>
      <c r="O41" t="s">
        <v>40</v>
      </c>
      <c r="P41" s="2">
        <f>'Data-Cons'!D24</f>
        <v>3717.2719999999999</v>
      </c>
      <c r="Q41" s="2">
        <f>'Data-Cons'!E24</f>
        <v>192.54900000000001</v>
      </c>
      <c r="R41" s="2" t="e">
        <f>'Data-Cons'!#REF!</f>
        <v>#REF!</v>
      </c>
      <c r="S41" s="5" t="e">
        <f>R41/P41</f>
        <v>#REF!</v>
      </c>
      <c r="T41" s="8">
        <f>'Data-Cons'!F24</f>
        <v>0</v>
      </c>
      <c r="U41" s="74" t="e">
        <f>P41/T41*100</f>
        <v>#DIV/0!</v>
      </c>
    </row>
    <row r="42" spans="1:21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t="s">
        <v>46</v>
      </c>
      <c r="O42" t="s">
        <v>46</v>
      </c>
      <c r="P42" s="2">
        <f>'Data-Cons'!D28</f>
        <v>3743.2000000000007</v>
      </c>
      <c r="Q42" s="2">
        <f>'Data-Cons'!E28</f>
        <v>293.59999999999997</v>
      </c>
      <c r="R42" s="2" t="e">
        <f>'Data-Cons'!#REF!</f>
        <v>#REF!</v>
      </c>
      <c r="S42" s="5" t="e">
        <f>R42/P42</f>
        <v>#REF!</v>
      </c>
      <c r="T42" s="8">
        <f>'Data-Cons'!F28</f>
        <v>0</v>
      </c>
      <c r="U42" s="74" t="e">
        <f t="shared" ref="U42:U44" si="5">P42/T42*100</f>
        <v>#DIV/0!</v>
      </c>
    </row>
    <row r="43" spans="1:21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t="s">
        <v>54</v>
      </c>
      <c r="O43" t="str">
        <f>'Data-Cons'!C35</f>
        <v>Lst 3 Qtr 21</v>
      </c>
      <c r="P43" s="2">
        <f>'Data-Cons'!D35</f>
        <v>10746.099</v>
      </c>
      <c r="Q43" s="2">
        <f>'Data-Cons'!E35</f>
        <v>381.18799999999999</v>
      </c>
      <c r="R43" s="2" t="e">
        <f>'Data-Cons'!#REF!</f>
        <v>#REF!</v>
      </c>
      <c r="S43" s="5" t="e">
        <f>R43/P43</f>
        <v>#REF!</v>
      </c>
      <c r="T43" s="8">
        <f>'Data-Cons'!F35</f>
        <v>0</v>
      </c>
      <c r="U43" s="74" t="e">
        <f t="shared" si="5"/>
        <v>#DIV/0!</v>
      </c>
    </row>
    <row r="44" spans="1:21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t="s">
        <v>58</v>
      </c>
      <c r="O44" t="str">
        <f>'Data-Cons'!C36</f>
        <v>Lst 3 Qtr 22</v>
      </c>
      <c r="P44" s="2">
        <f>'Data-Cons'!D36</f>
        <v>11240.328</v>
      </c>
      <c r="Q44" s="2">
        <f>'Data-Cons'!E36</f>
        <v>1026.8999999999999</v>
      </c>
      <c r="R44" s="2" t="e">
        <f>'Data-Cons'!#REF!</f>
        <v>#REF!</v>
      </c>
      <c r="S44" s="5" t="e">
        <f>R44/P44</f>
        <v>#REF!</v>
      </c>
      <c r="T44" s="8">
        <f>'Data-Cons'!F36</f>
        <v>0</v>
      </c>
      <c r="U44" s="74" t="e">
        <f t="shared" si="5"/>
        <v>#DIV/0!</v>
      </c>
    </row>
    <row r="45" spans="1:21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P45" s="74"/>
      <c r="Q45" s="74"/>
      <c r="R45" s="74"/>
      <c r="S45" s="5"/>
      <c r="T45" s="8"/>
      <c r="U45" s="1"/>
    </row>
    <row r="46" spans="1:21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P46" s="74"/>
      <c r="Q46" s="74"/>
      <c r="R46" s="74"/>
      <c r="S46" s="5"/>
      <c r="T46" s="8"/>
      <c r="U46" s="1"/>
    </row>
    <row r="47" spans="1:21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P47" s="74"/>
      <c r="Q47" s="74"/>
      <c r="R47" s="74"/>
      <c r="S47" s="5"/>
      <c r="T47" s="7"/>
      <c r="U47" s="1"/>
    </row>
    <row r="48" spans="1:21" ht="15" customHeight="1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P48" s="74"/>
      <c r="Q48" s="74"/>
      <c r="R48" s="74"/>
      <c r="S48" s="5"/>
      <c r="T48" s="8"/>
      <c r="U48" s="1"/>
    </row>
    <row r="49" spans="1:25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P49" s="74"/>
      <c r="Q49" s="74"/>
      <c r="R49" s="74"/>
      <c r="S49" s="5"/>
      <c r="T49" s="7"/>
      <c r="U49" s="1"/>
    </row>
    <row r="50" spans="1:25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P50" s="74"/>
      <c r="Q50" s="74"/>
      <c r="R50" s="74"/>
      <c r="S50" s="5"/>
      <c r="T50" s="8"/>
      <c r="U50" s="1"/>
    </row>
    <row r="51" spans="1:25" ht="15.75" customHeight="1" thickBot="1" x14ac:dyDescent="0.4">
      <c r="A51" s="18"/>
      <c r="B51" s="26" t="s">
        <v>112</v>
      </c>
      <c r="C51" s="24"/>
      <c r="D51" s="24"/>
      <c r="E51" s="25" t="s">
        <v>113</v>
      </c>
      <c r="F51" s="27" t="s">
        <v>114</v>
      </c>
      <c r="G51" s="18"/>
      <c r="H51" s="26" t="s">
        <v>115</v>
      </c>
      <c r="I51" s="25" t="str">
        <f>I17</f>
        <v>Q2 2021</v>
      </c>
      <c r="J51" s="25" t="str">
        <f>J17</f>
        <v>Q2 2022</v>
      </c>
      <c r="K51" s="25" t="str">
        <f>K17</f>
        <v>Lst 3 Qtr 21</v>
      </c>
      <c r="L51" s="25" t="str">
        <f>L17</f>
        <v>Lst 3 Qtr 22</v>
      </c>
      <c r="M51" s="18"/>
      <c r="N51" s="6" t="s">
        <v>12</v>
      </c>
      <c r="O51" t="s">
        <v>71</v>
      </c>
      <c r="P51" s="5">
        <f>(P42-P41)/P41</f>
        <v>6.9750074786028016E-3</v>
      </c>
      <c r="Q51" s="5">
        <f t="shared" ref="Q51:S51" si="6">(Q42-Q41)/Q41</f>
        <v>0.52480667258723734</v>
      </c>
      <c r="R51" s="5" t="e">
        <f t="shared" si="6"/>
        <v>#REF!</v>
      </c>
      <c r="S51" s="5" t="e">
        <f t="shared" si="6"/>
        <v>#REF!</v>
      </c>
      <c r="T51" s="5" t="e">
        <f>(T42-T41)/T41</f>
        <v>#DIV/0!</v>
      </c>
      <c r="U51" s="5" t="e">
        <f>(U42-U41)/U41</f>
        <v>#DIV/0!</v>
      </c>
      <c r="V51" s="3"/>
      <c r="W51" s="3"/>
    </row>
    <row r="52" spans="1:25" x14ac:dyDescent="0.35">
      <c r="A52" s="18"/>
      <c r="B52" s="28" t="s">
        <v>116</v>
      </c>
      <c r="C52" s="13"/>
      <c r="D52" s="13"/>
      <c r="E52" s="15" t="e">
        <f>T51</f>
        <v>#DIV/0!</v>
      </c>
      <c r="F52" s="32" t="e">
        <f>U51</f>
        <v>#DIV/0!</v>
      </c>
      <c r="G52" s="18"/>
      <c r="H52" s="28" t="s">
        <v>27</v>
      </c>
      <c r="I52" s="22">
        <f>P41</f>
        <v>3717.2719999999999</v>
      </c>
      <c r="J52" s="22">
        <f>P42</f>
        <v>3743.2000000000007</v>
      </c>
      <c r="K52" s="22">
        <f>P43</f>
        <v>10746.099</v>
      </c>
      <c r="L52" s="29">
        <f>P44</f>
        <v>11240.328</v>
      </c>
      <c r="M52" s="18"/>
      <c r="O52" t="s">
        <v>122</v>
      </c>
      <c r="P52" s="5">
        <f>(P44-P43)/P43</f>
        <v>4.5991480257161169E-2</v>
      </c>
      <c r="Q52" s="5">
        <f t="shared" ref="Q52:U52" si="7">(Q44-Q43)/Q43</f>
        <v>1.6939462942170265</v>
      </c>
      <c r="R52" s="5" t="e">
        <f t="shared" si="7"/>
        <v>#REF!</v>
      </c>
      <c r="S52" s="5" t="e">
        <f t="shared" si="7"/>
        <v>#REF!</v>
      </c>
      <c r="T52" s="5" t="e">
        <f>(T44-T43)/T43</f>
        <v>#DIV/0!</v>
      </c>
      <c r="U52" s="5" t="e">
        <f t="shared" si="7"/>
        <v>#DIV/0!</v>
      </c>
      <c r="V52" s="3"/>
      <c r="W52" s="3"/>
    </row>
    <row r="53" spans="1:25" x14ac:dyDescent="0.35">
      <c r="A53" s="18"/>
      <c r="B53" s="33" t="s">
        <v>117</v>
      </c>
      <c r="C53" s="14"/>
      <c r="D53" s="14"/>
      <c r="E53" s="34" t="e">
        <f>T52</f>
        <v>#DIV/0!</v>
      </c>
      <c r="F53" s="35" t="e">
        <f>U52</f>
        <v>#DIV/0!</v>
      </c>
      <c r="G53" s="18"/>
      <c r="H53" s="28" t="s">
        <v>118</v>
      </c>
      <c r="I53" s="22">
        <f>Q41</f>
        <v>192.54900000000001</v>
      </c>
      <c r="J53" s="22">
        <f>Q42</f>
        <v>293.59999999999997</v>
      </c>
      <c r="K53" s="22">
        <f>Q43</f>
        <v>381.18799999999999</v>
      </c>
      <c r="L53" s="29">
        <f>Q44</f>
        <v>1026.8999999999999</v>
      </c>
      <c r="M53" s="18"/>
    </row>
    <row r="54" spans="1:25" x14ac:dyDescent="0.35">
      <c r="A54" s="18"/>
      <c r="B54" s="18"/>
      <c r="C54" s="18"/>
      <c r="D54" s="18"/>
      <c r="E54" s="18"/>
      <c r="F54" s="18"/>
      <c r="G54" s="18"/>
      <c r="H54" s="30" t="s">
        <v>119</v>
      </c>
      <c r="I54" s="23">
        <f>I53/I52</f>
        <v>5.1798469415205564E-2</v>
      </c>
      <c r="J54" s="23">
        <f>J53/J52</f>
        <v>7.8435563154520174E-2</v>
      </c>
      <c r="K54" s="23">
        <f>K53/K52</f>
        <v>3.5472221128802182E-2</v>
      </c>
      <c r="L54" s="31">
        <f>L53/L52</f>
        <v>9.135854398554917E-2</v>
      </c>
      <c r="M54" s="18"/>
      <c r="N54" s="93"/>
      <c r="V54" s="4"/>
      <c r="W54" s="4"/>
      <c r="X54" s="4"/>
      <c r="Y54" s="4"/>
    </row>
    <row r="55" spans="1:25" ht="15" customHeight="1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V55" s="4"/>
      <c r="X55" s="4"/>
      <c r="Y55" s="4"/>
    </row>
    <row r="57" spans="1:25" x14ac:dyDescent="0.35">
      <c r="V57" s="16"/>
      <c r="W57" s="16"/>
      <c r="X57" s="16"/>
    </row>
  </sheetData>
  <pageMargins left="0.7" right="0.7" top="0.5" bottom="0.5" header="0.3" footer="0.3"/>
  <pageSetup orientation="landscape" r:id="rId1"/>
  <colBreaks count="1" manualBreakCount="1">
    <brk id="12" max="37" man="1"/>
  </colBreaks>
  <customProperties>
    <customPr name="_pios_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D5D7-B288-49B2-9047-1DD06F2E7F3E}">
  <dimension ref="A1:Y44"/>
  <sheetViews>
    <sheetView zoomScale="85" zoomScaleNormal="85" workbookViewId="0">
      <selection activeCell="Y6" sqref="Y6"/>
    </sheetView>
  </sheetViews>
  <sheetFormatPr defaultRowHeight="14.5" x14ac:dyDescent="0.35"/>
  <cols>
    <col min="1" max="1" width="3.81640625" customWidth="1"/>
    <col min="2" max="6" width="11.7265625" customWidth="1"/>
    <col min="7" max="7" width="1.453125" customWidth="1"/>
    <col min="8" max="12" width="11.7265625" customWidth="1"/>
    <col min="13" max="13" width="4.7265625" customWidth="1"/>
    <col min="14" max="14" width="12.453125" bestFit="1" customWidth="1"/>
    <col min="15" max="15" width="11.453125" bestFit="1" customWidth="1"/>
    <col min="16" max="16" width="12.54296875" bestFit="1" customWidth="1"/>
    <col min="17" max="18" width="14.81640625" bestFit="1" customWidth="1"/>
    <col min="19" max="19" width="8.453125" bestFit="1" customWidth="1"/>
    <col min="20" max="20" width="9.453125" bestFit="1" customWidth="1"/>
    <col min="21" max="21" width="8.453125" bestFit="1" customWidth="1"/>
  </cols>
  <sheetData>
    <row r="1" spans="1:21" x14ac:dyDescent="0.35">
      <c r="A1" s="18"/>
      <c r="B1" s="19" t="s">
        <v>124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21" x14ac:dyDescent="0.35">
      <c r="A2" s="18"/>
      <c r="B2" s="18" t="s">
        <v>105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21" ht="6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21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21" ht="15" thickBot="1" x14ac:dyDescent="0.4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9" t="s">
        <v>1</v>
      </c>
      <c r="O5" s="9" t="s">
        <v>2</v>
      </c>
      <c r="P5" s="10" t="s">
        <v>3</v>
      </c>
      <c r="Q5" s="10" t="s">
        <v>4</v>
      </c>
      <c r="R5" s="10" t="s">
        <v>4</v>
      </c>
      <c r="S5" s="10" t="s">
        <v>5</v>
      </c>
      <c r="T5" s="10" t="s">
        <v>6</v>
      </c>
      <c r="U5" s="10" t="s">
        <v>7</v>
      </c>
    </row>
    <row r="6" spans="1:2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t="s">
        <v>38</v>
      </c>
      <c r="O6" t="s">
        <v>40</v>
      </c>
      <c r="P6" s="2">
        <f>'Data-Cons'!D5</f>
        <v>4038</v>
      </c>
      <c r="Q6" s="2">
        <f>'Data-Cons'!E5</f>
        <v>217</v>
      </c>
      <c r="R6" s="2" t="e">
        <f>'Data-Cons'!#REF!</f>
        <v>#REF!</v>
      </c>
      <c r="S6" s="5">
        <f>Q6/P6</f>
        <v>5.3739474987617636E-2</v>
      </c>
      <c r="T6" s="76"/>
      <c r="U6" s="16" t="e">
        <f>P6/T6*100</f>
        <v>#DIV/0!</v>
      </c>
    </row>
    <row r="7" spans="1:21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t="s">
        <v>44</v>
      </c>
      <c r="O7" t="s">
        <v>46</v>
      </c>
      <c r="P7" s="2">
        <f>'Data-Cons'!D8</f>
        <v>4066</v>
      </c>
      <c r="Q7" s="2">
        <f>'Data-Cons'!E8</f>
        <v>211</v>
      </c>
      <c r="R7" s="2" t="e">
        <f>'Data-Cons'!#REF!</f>
        <v>#REF!</v>
      </c>
      <c r="S7" s="5">
        <f t="shared" ref="S7:S8" si="0">Q7/P7</f>
        <v>5.1893753074274469E-2</v>
      </c>
      <c r="T7" s="76"/>
      <c r="U7" s="74" t="e">
        <f t="shared" ref="U7:U9" si="1">P7/T7*100</f>
        <v>#DIV/0!</v>
      </c>
    </row>
    <row r="8" spans="1:2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t="s">
        <v>52</v>
      </c>
      <c r="O8" t="str">
        <f>'Data-Cons'!C15</f>
        <v>Lst 3 Qtr 21</v>
      </c>
      <c r="P8" s="2">
        <f>'Data-Cons'!D15</f>
        <v>8315</v>
      </c>
      <c r="Q8" s="2">
        <f>'Data-Cons'!E15</f>
        <v>700</v>
      </c>
      <c r="R8" s="2" t="e">
        <f>'Data-Cons'!#REF!</f>
        <v>#REF!</v>
      </c>
      <c r="S8" s="5">
        <f t="shared" si="0"/>
        <v>8.4185207456404093E-2</v>
      </c>
      <c r="T8" s="76">
        <f>'Data-Cons'!F15</f>
        <v>2670</v>
      </c>
      <c r="U8" s="74">
        <f t="shared" si="1"/>
        <v>311.4232209737828</v>
      </c>
    </row>
    <row r="9" spans="1:2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t="s">
        <v>56</v>
      </c>
      <c r="O9" t="str">
        <f>'Data-Cons'!C16</f>
        <v>Lst 3 Qtr 22</v>
      </c>
      <c r="P9" s="2">
        <f>'Data-Cons'!D16</f>
        <v>8792</v>
      </c>
      <c r="Q9" s="2">
        <f>'Data-Cons'!E16</f>
        <v>660</v>
      </c>
      <c r="R9" s="2" t="e">
        <f>'Data-Cons'!#REF!</f>
        <v>#REF!</v>
      </c>
      <c r="S9" s="5">
        <f>Q9/P9</f>
        <v>7.5068243858052774E-2</v>
      </c>
      <c r="T9" s="76">
        <f>'Data-Cons'!F16</f>
        <v>2520</v>
      </c>
      <c r="U9" s="74">
        <f t="shared" si="1"/>
        <v>348.88888888888891</v>
      </c>
    </row>
    <row r="10" spans="1:21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6" t="s">
        <v>12</v>
      </c>
      <c r="O10" t="s">
        <v>71</v>
      </c>
      <c r="P10" s="80">
        <f>(P7-P6)/P6</f>
        <v>6.9341258048538877E-3</v>
      </c>
      <c r="Q10" s="80">
        <f>(Q7-Q6)/Q6</f>
        <v>-2.7649769585253458E-2</v>
      </c>
      <c r="R10" s="80" t="e">
        <f>(R7-R6)/R6</f>
        <v>#REF!</v>
      </c>
      <c r="S10" s="80">
        <f>(S7-S6)/S6</f>
        <v>-3.4345737723869611E-2</v>
      </c>
      <c r="T10" s="80">
        <v>-8.5000000000000006E-2</v>
      </c>
      <c r="U10" s="80">
        <v>0.13800000000000001</v>
      </c>
    </row>
    <row r="11" spans="1:21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O11" t="s">
        <v>122</v>
      </c>
      <c r="P11" s="80">
        <f>(P9-P8)/P8</f>
        <v>5.7366205652435359E-2</v>
      </c>
      <c r="Q11" s="80">
        <f>(Q9-Q8)/Q8</f>
        <v>-5.7142857142857141E-2</v>
      </c>
      <c r="R11" s="80" t="e">
        <f>(R9-R8)/R8</f>
        <v>#REF!</v>
      </c>
      <c r="S11" s="80">
        <f>(S9-S8)/S8</f>
        <v>-0.10829650331470173</v>
      </c>
      <c r="T11" s="80">
        <v>-5.5E-2</v>
      </c>
      <c r="U11" s="80">
        <v>0.14199999999999999</v>
      </c>
    </row>
    <row r="12" spans="1:21" ht="15" customHeight="1" thickBot="1" x14ac:dyDescent="0.4">
      <c r="A12" s="18"/>
      <c r="B12" s="26" t="s">
        <v>112</v>
      </c>
      <c r="C12" s="24"/>
      <c r="D12" s="24"/>
      <c r="E12" s="25" t="s">
        <v>113</v>
      </c>
      <c r="F12" s="27" t="s">
        <v>114</v>
      </c>
      <c r="G12" s="20"/>
      <c r="H12" s="26" t="s">
        <v>26</v>
      </c>
      <c r="I12" s="25" t="str">
        <f>O32</f>
        <v>Q2 2021</v>
      </c>
      <c r="J12" s="25" t="str">
        <f>O33</f>
        <v>Q2 2022</v>
      </c>
      <c r="K12" s="25" t="str">
        <f>O34</f>
        <v>Lst 3 Qtr 21</v>
      </c>
      <c r="L12" s="27" t="str">
        <f>O35</f>
        <v>Lst 3 Qtr 22</v>
      </c>
      <c r="M12" s="18"/>
    </row>
    <row r="13" spans="1:21" x14ac:dyDescent="0.35">
      <c r="A13" s="18"/>
      <c r="B13" s="28" t="s">
        <v>116</v>
      </c>
      <c r="C13" s="13"/>
      <c r="D13" s="13"/>
      <c r="E13" s="96">
        <f>T10</f>
        <v>-8.5000000000000006E-2</v>
      </c>
      <c r="F13" s="97">
        <f>U10</f>
        <v>0.13800000000000001</v>
      </c>
      <c r="G13" s="18"/>
      <c r="H13" s="28" t="s">
        <v>27</v>
      </c>
      <c r="I13" s="100">
        <f>P6</f>
        <v>4038</v>
      </c>
      <c r="J13" s="100">
        <f>P7</f>
        <v>4066</v>
      </c>
      <c r="K13" s="100">
        <f>P8</f>
        <v>8315</v>
      </c>
      <c r="L13" s="101">
        <f>P9</f>
        <v>8792</v>
      </c>
      <c r="M13" s="18"/>
    </row>
    <row r="14" spans="1:21" x14ac:dyDescent="0.35">
      <c r="A14" s="18"/>
      <c r="B14" s="28" t="s">
        <v>117</v>
      </c>
      <c r="C14" s="13"/>
      <c r="D14" s="13"/>
      <c r="E14" s="96">
        <f>T11</f>
        <v>-5.5E-2</v>
      </c>
      <c r="F14" s="97">
        <f>U11</f>
        <v>0.14199999999999999</v>
      </c>
      <c r="G14" s="18"/>
      <c r="H14" s="28" t="s">
        <v>28</v>
      </c>
      <c r="I14" s="100">
        <f>Q6</f>
        <v>217</v>
      </c>
      <c r="J14" s="100">
        <f>Q7</f>
        <v>211</v>
      </c>
      <c r="K14" s="100">
        <f>Q8</f>
        <v>700</v>
      </c>
      <c r="L14" s="101">
        <f>Q9</f>
        <v>660</v>
      </c>
      <c r="M14" s="18"/>
    </row>
    <row r="15" spans="1:21" x14ac:dyDescent="0.35">
      <c r="A15" s="18"/>
      <c r="B15" s="94"/>
      <c r="C15" s="14"/>
      <c r="D15" s="14"/>
      <c r="E15" s="14"/>
      <c r="F15" s="95"/>
      <c r="G15" s="18"/>
      <c r="H15" s="30" t="s">
        <v>29</v>
      </c>
      <c r="I15" s="102">
        <f>I14/I13</f>
        <v>5.3739474987617636E-2</v>
      </c>
      <c r="J15" s="102">
        <f>J14/J13</f>
        <v>5.1893753074274469E-2</v>
      </c>
      <c r="K15" s="102">
        <f>K14/K13</f>
        <v>8.4185207456404093E-2</v>
      </c>
      <c r="L15" s="103">
        <f>L14/L13</f>
        <v>7.5068243858052774E-2</v>
      </c>
      <c r="M15" s="18"/>
    </row>
    <row r="16" spans="1:21" ht="5.25" customHeigh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21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21" ht="15" thickBot="1" x14ac:dyDescent="0.4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9" t="s">
        <v>15</v>
      </c>
      <c r="O18" s="9" t="s">
        <v>2</v>
      </c>
      <c r="P18" s="10" t="s">
        <v>120</v>
      </c>
      <c r="Q18" s="10" t="s">
        <v>121</v>
      </c>
      <c r="R18" s="10" t="s">
        <v>121</v>
      </c>
      <c r="S18" s="10" t="s">
        <v>5</v>
      </c>
      <c r="T18" s="10" t="s">
        <v>6</v>
      </c>
      <c r="U18" s="10" t="s">
        <v>7</v>
      </c>
    </row>
    <row r="19" spans="1:21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t="s">
        <v>38</v>
      </c>
      <c r="O19" t="s">
        <v>40</v>
      </c>
      <c r="P19" s="2">
        <f>'Data-Cons'!E45</f>
        <v>141.15651904484699</v>
      </c>
      <c r="Q19" s="2">
        <f>'Data-Cons'!E46</f>
        <v>170.17560081888999</v>
      </c>
      <c r="R19" s="2" t="e">
        <f>'Data-Cons'!#REF!</f>
        <v>#REF!</v>
      </c>
      <c r="S19" s="5">
        <f>Q19/P19</f>
        <v>1.20558088262876</v>
      </c>
      <c r="T19" s="76">
        <f>'Data-Cons'!F46</f>
        <v>0</v>
      </c>
      <c r="U19" s="74" t="e">
        <f>P19/T19*100</f>
        <v>#DIV/0!</v>
      </c>
    </row>
    <row r="20" spans="1:21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t="s">
        <v>44</v>
      </c>
      <c r="O20" t="s">
        <v>46</v>
      </c>
      <c r="P20" s="2">
        <f>'Data-Cons'!D45</f>
        <v>2127.4864943421098</v>
      </c>
      <c r="Q20" s="2" t="e">
        <f>'Data-Cons'!#REF!</f>
        <v>#REF!</v>
      </c>
      <c r="R20" s="2" t="e">
        <f>'Data-Cons'!#REF!</f>
        <v>#REF!</v>
      </c>
      <c r="S20" s="5" t="e">
        <f>Q20/P20</f>
        <v>#REF!</v>
      </c>
      <c r="T20" s="76">
        <f>'Data-Cons'!F45</f>
        <v>0</v>
      </c>
      <c r="U20" s="74" t="e">
        <f t="shared" ref="U20:U21" si="2">P20/T20*100</f>
        <v>#DIV/0!</v>
      </c>
    </row>
    <row r="21" spans="1:21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t="s">
        <v>52</v>
      </c>
      <c r="O21" t="s">
        <v>60</v>
      </c>
      <c r="P21" s="2">
        <f>'Data-Cons'!D44</f>
        <v>5728.6087656529699</v>
      </c>
      <c r="Q21" s="2">
        <f>'Data-Cons'!E44</f>
        <v>555.89990545117803</v>
      </c>
      <c r="R21" s="2" t="e">
        <f>'Data-Cons'!#REF!</f>
        <v>#REF!</v>
      </c>
      <c r="S21" s="5">
        <f>Q21/P21</f>
        <v>9.7039251272348734E-2</v>
      </c>
      <c r="T21" s="76">
        <f>'Data-Cons'!F44</f>
        <v>0</v>
      </c>
      <c r="U21" s="74" t="e">
        <f t="shared" si="2"/>
        <v>#DIV/0!</v>
      </c>
    </row>
    <row r="22" spans="1:2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t="s">
        <v>56</v>
      </c>
      <c r="O22" t="s">
        <v>61</v>
      </c>
      <c r="P22" s="2">
        <f>'Data-Cons'!D43</f>
        <v>6149.1163771048195</v>
      </c>
      <c r="Q22" s="2">
        <f>'Data-Cons'!E43</f>
        <v>579.44621131095664</v>
      </c>
      <c r="R22" s="2" t="e">
        <f>'Data-Cons'!#REF!</f>
        <v>#REF!</v>
      </c>
      <c r="S22" s="5">
        <f>Q22/P22</f>
        <v>9.4232435324923314E-2</v>
      </c>
      <c r="T22" s="76">
        <f>'Data-Cons'!F43</f>
        <v>0</v>
      </c>
      <c r="U22" s="74" t="e">
        <f>P22/T22*100</f>
        <v>#DIV/0!</v>
      </c>
    </row>
    <row r="23" spans="1:21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6" t="s">
        <v>12</v>
      </c>
      <c r="O23" t="s">
        <v>71</v>
      </c>
      <c r="P23" s="80">
        <f t="shared" ref="P23:U23" si="3">(P20-P19)/P19</f>
        <v>14.071826003772335</v>
      </c>
      <c r="Q23" s="80" t="e">
        <f t="shared" si="3"/>
        <v>#REF!</v>
      </c>
      <c r="R23" s="80" t="e">
        <f t="shared" si="3"/>
        <v>#REF!</v>
      </c>
      <c r="S23" s="80" t="e">
        <f t="shared" si="3"/>
        <v>#REF!</v>
      </c>
      <c r="T23" s="80" t="e">
        <f t="shared" si="3"/>
        <v>#DIV/0!</v>
      </c>
      <c r="U23" s="80" t="e">
        <f t="shared" si="3"/>
        <v>#DIV/0!</v>
      </c>
    </row>
    <row r="24" spans="1:2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O24" t="s">
        <v>122</v>
      </c>
      <c r="P24" s="80">
        <f t="shared" ref="P24:U24" si="4">(P22-P21)/P21</f>
        <v>7.3404840276942621E-2</v>
      </c>
      <c r="Q24" s="80">
        <f t="shared" si="4"/>
        <v>4.2357096356524869E-2</v>
      </c>
      <c r="R24" s="80" t="e">
        <f t="shared" si="4"/>
        <v>#REF!</v>
      </c>
      <c r="S24" s="80">
        <f t="shared" si="4"/>
        <v>-2.8924542498250091E-2</v>
      </c>
      <c r="T24" s="80" t="e">
        <f t="shared" si="4"/>
        <v>#DIV/0!</v>
      </c>
      <c r="U24" s="80" t="e">
        <f t="shared" si="4"/>
        <v>#DIV/0!</v>
      </c>
    </row>
    <row r="25" spans="1:21" ht="15" thickBot="1" x14ac:dyDescent="0.4">
      <c r="A25" s="18"/>
      <c r="B25" s="26" t="s">
        <v>112</v>
      </c>
      <c r="C25" s="24"/>
      <c r="D25" s="24"/>
      <c r="E25" s="25" t="s">
        <v>113</v>
      </c>
      <c r="F25" s="27" t="s">
        <v>114</v>
      </c>
      <c r="G25" s="20"/>
      <c r="H25" s="26" t="s">
        <v>26</v>
      </c>
      <c r="I25" s="25" t="str">
        <f>I12</f>
        <v>Q2 2021</v>
      </c>
      <c r="J25" s="25" t="str">
        <f>J12</f>
        <v>Q2 2022</v>
      </c>
      <c r="K25" s="25" t="str">
        <f>K12</f>
        <v>Lst 3 Qtr 21</v>
      </c>
      <c r="L25" s="25" t="str">
        <f>L12</f>
        <v>Lst 3 Qtr 22</v>
      </c>
      <c r="M25" s="18"/>
    </row>
    <row r="26" spans="1:21" x14ac:dyDescent="0.35">
      <c r="A26" s="18"/>
      <c r="B26" s="28" t="s">
        <v>116</v>
      </c>
      <c r="C26" s="13"/>
      <c r="D26" s="13"/>
      <c r="E26" s="96" t="e">
        <f>T23</f>
        <v>#DIV/0!</v>
      </c>
      <c r="F26" s="97" t="e">
        <f>U23</f>
        <v>#DIV/0!</v>
      </c>
      <c r="G26" s="18"/>
      <c r="H26" s="28" t="s">
        <v>27</v>
      </c>
      <c r="I26" s="100">
        <f>P19</f>
        <v>141.15651904484699</v>
      </c>
      <c r="J26" s="100">
        <f>P20</f>
        <v>2127.4864943421098</v>
      </c>
      <c r="K26" s="100">
        <f>P21</f>
        <v>5728.6087656529699</v>
      </c>
      <c r="L26" s="101">
        <f>P22</f>
        <v>6149.1163771048195</v>
      </c>
      <c r="M26" s="18"/>
    </row>
    <row r="27" spans="1:21" x14ac:dyDescent="0.35">
      <c r="A27" s="18"/>
      <c r="B27" s="33" t="s">
        <v>117</v>
      </c>
      <c r="C27" s="14"/>
      <c r="D27" s="14"/>
      <c r="E27" s="98" t="e">
        <f>T24</f>
        <v>#DIV/0!</v>
      </c>
      <c r="F27" s="99" t="e">
        <f>U24</f>
        <v>#DIV/0!</v>
      </c>
      <c r="G27" s="18"/>
      <c r="H27" s="28" t="s">
        <v>28</v>
      </c>
      <c r="I27" s="100">
        <f>Q19</f>
        <v>170.17560081888999</v>
      </c>
      <c r="J27" s="100" t="e">
        <f>Q20</f>
        <v>#REF!</v>
      </c>
      <c r="K27" s="100">
        <f>Q21</f>
        <v>555.89990545117803</v>
      </c>
      <c r="L27" s="101">
        <f>Q22</f>
        <v>579.44621131095664</v>
      </c>
      <c r="M27" s="18"/>
    </row>
    <row r="28" spans="1:21" x14ac:dyDescent="0.35">
      <c r="A28" s="18"/>
      <c r="B28" s="94"/>
      <c r="C28" s="14"/>
      <c r="D28" s="14"/>
      <c r="E28" s="14"/>
      <c r="F28" s="95"/>
      <c r="G28" s="18"/>
      <c r="H28" s="30" t="s">
        <v>29</v>
      </c>
      <c r="I28" s="102">
        <f>I27/I26</f>
        <v>1.20558088262876</v>
      </c>
      <c r="J28" s="102" t="e">
        <f>J27/J26</f>
        <v>#REF!</v>
      </c>
      <c r="K28" s="102">
        <f>K27/K26</f>
        <v>9.7039251272348734E-2</v>
      </c>
      <c r="L28" s="103">
        <f>L27/L26</f>
        <v>9.4232435324923314E-2</v>
      </c>
      <c r="M28" s="18"/>
      <c r="N28" s="93"/>
    </row>
    <row r="29" spans="1:21" ht="5.25" customHeight="1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21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21" ht="15" thickBot="1" x14ac:dyDescent="0.4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9" t="s">
        <v>22</v>
      </c>
      <c r="O31" s="9" t="s">
        <v>2</v>
      </c>
      <c r="P31" s="10" t="s">
        <v>23</v>
      </c>
      <c r="Q31" s="10" t="s">
        <v>24</v>
      </c>
      <c r="R31" s="10" t="s">
        <v>123</v>
      </c>
      <c r="S31" s="10" t="s">
        <v>5</v>
      </c>
      <c r="T31" s="10" t="s">
        <v>6</v>
      </c>
      <c r="U31" s="10" t="s">
        <v>7</v>
      </c>
    </row>
    <row r="32" spans="1:21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t="s">
        <v>40</v>
      </c>
      <c r="O32" t="s">
        <v>40</v>
      </c>
      <c r="P32" s="2">
        <f>'Data-Cons'!D24</f>
        <v>3717.2719999999999</v>
      </c>
      <c r="Q32" s="2">
        <f>'Data-Cons'!E24</f>
        <v>192.54900000000001</v>
      </c>
      <c r="R32" s="2" t="e">
        <f>'Data-Cons'!#REF!</f>
        <v>#REF!</v>
      </c>
      <c r="S32" s="5" t="e">
        <f>R32/P32</f>
        <v>#REF!</v>
      </c>
      <c r="T32" s="8">
        <f>'Data-Cons'!F24</f>
        <v>0</v>
      </c>
      <c r="U32" s="74" t="e">
        <f>P32/T32*100</f>
        <v>#DIV/0!</v>
      </c>
    </row>
    <row r="33" spans="1:25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t="s">
        <v>46</v>
      </c>
      <c r="O33" t="s">
        <v>46</v>
      </c>
      <c r="P33" s="2">
        <f>'Data-Cons'!D28</f>
        <v>3743.2000000000007</v>
      </c>
      <c r="Q33" s="2">
        <f>'Data-Cons'!E28</f>
        <v>293.59999999999997</v>
      </c>
      <c r="R33" s="2" t="e">
        <f>'Data-Cons'!#REF!</f>
        <v>#REF!</v>
      </c>
      <c r="S33" s="5" t="e">
        <f>R33/P33</f>
        <v>#REF!</v>
      </c>
      <c r="T33" s="8">
        <f>'Data-Cons'!F28</f>
        <v>0</v>
      </c>
      <c r="U33" s="74" t="e">
        <f t="shared" ref="U33:U35" si="5">P33/T33*100</f>
        <v>#DIV/0!</v>
      </c>
    </row>
    <row r="34" spans="1:25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t="s">
        <v>54</v>
      </c>
      <c r="O34" t="str">
        <f>'Data-Cons'!C35</f>
        <v>Lst 3 Qtr 21</v>
      </c>
      <c r="P34" s="2">
        <f>'Data-Cons'!D35</f>
        <v>10746.099</v>
      </c>
      <c r="Q34" s="2">
        <f>'Data-Cons'!E35</f>
        <v>381.18799999999999</v>
      </c>
      <c r="R34" s="2" t="e">
        <f>'Data-Cons'!#REF!</f>
        <v>#REF!</v>
      </c>
      <c r="S34" s="5" t="e">
        <f>R34/P34</f>
        <v>#REF!</v>
      </c>
      <c r="T34" s="8">
        <f>'Data-Cons'!F35</f>
        <v>0</v>
      </c>
      <c r="U34" s="74" t="e">
        <f t="shared" si="5"/>
        <v>#DIV/0!</v>
      </c>
    </row>
    <row r="35" spans="1:25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t="s">
        <v>58</v>
      </c>
      <c r="O35" t="str">
        <f>'Data-Cons'!C36</f>
        <v>Lst 3 Qtr 22</v>
      </c>
      <c r="P35" s="2">
        <f>'Data-Cons'!D36</f>
        <v>11240.328</v>
      </c>
      <c r="Q35" s="2">
        <f>'Data-Cons'!E36</f>
        <v>1026.8999999999999</v>
      </c>
      <c r="R35" s="2" t="e">
        <f>'Data-Cons'!#REF!</f>
        <v>#REF!</v>
      </c>
      <c r="S35" s="5" t="e">
        <f>R35/P35</f>
        <v>#REF!</v>
      </c>
      <c r="T35" s="8">
        <f>'Data-Cons'!F36</f>
        <v>0</v>
      </c>
      <c r="U35" s="74" t="e">
        <f t="shared" si="5"/>
        <v>#DIV/0!</v>
      </c>
    </row>
    <row r="36" spans="1:25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6" t="s">
        <v>12</v>
      </c>
      <c r="O36" t="s">
        <v>71</v>
      </c>
      <c r="P36" s="5">
        <f t="shared" ref="P36:U36" si="6">(P33-P32)/P32</f>
        <v>6.9750074786028016E-3</v>
      </c>
      <c r="Q36" s="5">
        <f t="shared" si="6"/>
        <v>0.52480667258723734</v>
      </c>
      <c r="R36" s="5" t="e">
        <f t="shared" si="6"/>
        <v>#REF!</v>
      </c>
      <c r="S36" s="5" t="e">
        <f t="shared" si="6"/>
        <v>#REF!</v>
      </c>
      <c r="T36" s="5" t="e">
        <f t="shared" si="6"/>
        <v>#DIV/0!</v>
      </c>
      <c r="U36" s="5" t="e">
        <f t="shared" si="6"/>
        <v>#DIV/0!</v>
      </c>
    </row>
    <row r="37" spans="1:25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O37" t="s">
        <v>122</v>
      </c>
      <c r="P37" s="5">
        <f t="shared" ref="P37:U37" si="7">(P35-P34)/P34</f>
        <v>4.5991480257161169E-2</v>
      </c>
      <c r="Q37" s="5">
        <f t="shared" si="7"/>
        <v>1.6939462942170265</v>
      </c>
      <c r="R37" s="5" t="e">
        <f t="shared" si="7"/>
        <v>#REF!</v>
      </c>
      <c r="S37" s="5" t="e">
        <f t="shared" si="7"/>
        <v>#REF!</v>
      </c>
      <c r="T37" s="5" t="e">
        <f t="shared" si="7"/>
        <v>#DIV/0!</v>
      </c>
      <c r="U37" s="5" t="e">
        <f t="shared" si="7"/>
        <v>#DIV/0!</v>
      </c>
    </row>
    <row r="38" spans="1:25" ht="15.75" customHeight="1" thickBot="1" x14ac:dyDescent="0.4">
      <c r="A38" s="18"/>
      <c r="B38" s="26" t="s">
        <v>112</v>
      </c>
      <c r="C38" s="24"/>
      <c r="D38" s="24"/>
      <c r="E38" s="25" t="s">
        <v>113</v>
      </c>
      <c r="F38" s="27" t="s">
        <v>114</v>
      </c>
      <c r="G38" s="18"/>
      <c r="H38" s="26" t="s">
        <v>26</v>
      </c>
      <c r="I38" s="25" t="str">
        <f>I12</f>
        <v>Q2 2021</v>
      </c>
      <c r="J38" s="25" t="str">
        <f>J12</f>
        <v>Q2 2022</v>
      </c>
      <c r="K38" s="25" t="str">
        <f>K12</f>
        <v>Lst 3 Qtr 21</v>
      </c>
      <c r="L38" s="25" t="str">
        <f>L12</f>
        <v>Lst 3 Qtr 22</v>
      </c>
      <c r="M38" s="18"/>
      <c r="V38" s="3"/>
      <c r="W38" s="3"/>
    </row>
    <row r="39" spans="1:25" x14ac:dyDescent="0.35">
      <c r="A39" s="18"/>
      <c r="B39" s="28" t="s">
        <v>116</v>
      </c>
      <c r="C39" s="13"/>
      <c r="D39" s="13"/>
      <c r="E39" s="96" t="e">
        <f>T36</f>
        <v>#DIV/0!</v>
      </c>
      <c r="F39" s="97" t="e">
        <f>U36</f>
        <v>#DIV/0!</v>
      </c>
      <c r="G39" s="18"/>
      <c r="H39" s="28" t="s">
        <v>27</v>
      </c>
      <c r="I39" s="100">
        <f>P32</f>
        <v>3717.2719999999999</v>
      </c>
      <c r="J39" s="100">
        <f>P33</f>
        <v>3743.2000000000007</v>
      </c>
      <c r="K39" s="100">
        <f>P34</f>
        <v>10746.099</v>
      </c>
      <c r="L39" s="101">
        <f>P35</f>
        <v>11240.328</v>
      </c>
      <c r="M39" s="18"/>
      <c r="V39" s="3"/>
      <c r="W39" s="3"/>
    </row>
    <row r="40" spans="1:25" x14ac:dyDescent="0.35">
      <c r="A40" s="18"/>
      <c r="B40" s="33" t="s">
        <v>117</v>
      </c>
      <c r="C40" s="14"/>
      <c r="D40" s="14"/>
      <c r="E40" s="98" t="e">
        <f>T37</f>
        <v>#DIV/0!</v>
      </c>
      <c r="F40" s="99" t="e">
        <f>U37</f>
        <v>#DIV/0!</v>
      </c>
      <c r="G40" s="18"/>
      <c r="H40" s="28" t="s">
        <v>28</v>
      </c>
      <c r="I40" s="100">
        <f>Q32</f>
        <v>192.54900000000001</v>
      </c>
      <c r="J40" s="100">
        <f>Q33</f>
        <v>293.59999999999997</v>
      </c>
      <c r="K40" s="100">
        <f>Q34</f>
        <v>381.18799999999999</v>
      </c>
      <c r="L40" s="101">
        <f>Q35</f>
        <v>1026.8999999999999</v>
      </c>
      <c r="M40" s="18"/>
    </row>
    <row r="41" spans="1:25" x14ac:dyDescent="0.35">
      <c r="A41" s="18"/>
      <c r="B41" s="94"/>
      <c r="C41" s="14"/>
      <c r="D41" s="14"/>
      <c r="E41" s="14"/>
      <c r="F41" s="95"/>
      <c r="G41" s="18"/>
      <c r="H41" s="30" t="s">
        <v>29</v>
      </c>
      <c r="I41" s="102">
        <f>I40/I39</f>
        <v>5.1798469415205564E-2</v>
      </c>
      <c r="J41" s="102">
        <f>J40/J39</f>
        <v>7.8435563154520174E-2</v>
      </c>
      <c r="K41" s="102">
        <f>K40/K39</f>
        <v>3.5472221128802182E-2</v>
      </c>
      <c r="L41" s="103">
        <f>L40/L39</f>
        <v>9.135854398554917E-2</v>
      </c>
      <c r="M41" s="18"/>
      <c r="N41" s="93"/>
      <c r="V41" s="4"/>
      <c r="W41" s="4"/>
      <c r="X41" s="4"/>
      <c r="Y41" s="4"/>
    </row>
    <row r="42" spans="1:25" ht="5.25" customHeight="1" x14ac:dyDescent="0.35">
      <c r="A42" s="18"/>
      <c r="B42" s="18"/>
      <c r="C42" s="18"/>
      <c r="D42" s="18"/>
      <c r="E42" s="18"/>
      <c r="F42" s="18"/>
      <c r="G42" s="18"/>
      <c r="H42" s="18"/>
      <c r="I42" s="104"/>
      <c r="J42" s="104"/>
      <c r="K42" s="104"/>
      <c r="L42" s="104"/>
      <c r="M42" s="18"/>
      <c r="V42" s="4"/>
      <c r="X42" s="4"/>
      <c r="Y42" s="4"/>
    </row>
    <row r="44" spans="1:25" x14ac:dyDescent="0.35">
      <c r="V44" s="16"/>
      <c r="W44" s="16"/>
      <c r="X44" s="16"/>
    </row>
  </sheetData>
  <pageMargins left="0.7" right="0.7" top="0.25" bottom="0.25" header="0.3" footer="0.3"/>
  <pageSetup orientation="landscape" r:id="rId1"/>
  <colBreaks count="1" manualBreakCount="1">
    <brk id="12" max="37" man="1"/>
  </colBreaks>
  <customProperties>
    <customPr name="_pios_id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5C29-F257-47FB-BF3D-56E7F7D722A5}">
  <dimension ref="A1:Y40"/>
  <sheetViews>
    <sheetView topLeftCell="A4" zoomScaleNormal="100" workbookViewId="0">
      <selection activeCell="O21" sqref="O21:P21"/>
    </sheetView>
  </sheetViews>
  <sheetFormatPr defaultRowHeight="14.5" x14ac:dyDescent="0.35"/>
  <cols>
    <col min="2" max="6" width="11.7265625" customWidth="1"/>
    <col min="7" max="7" width="1.453125" customWidth="1"/>
    <col min="8" max="12" width="11.7265625" customWidth="1"/>
    <col min="13" max="13" width="9.54296875" customWidth="1"/>
    <col min="14" max="14" width="12.453125" bestFit="1" customWidth="1"/>
    <col min="15" max="15" width="11.453125" bestFit="1" customWidth="1"/>
    <col min="16" max="16" width="11.1796875" bestFit="1" customWidth="1"/>
    <col min="17" max="18" width="9.1796875" bestFit="1" customWidth="1"/>
    <col min="19" max="20" width="8" bestFit="1" customWidth="1"/>
    <col min="21" max="21" width="7.54296875" bestFit="1" customWidth="1"/>
  </cols>
  <sheetData>
    <row r="1" spans="1:22" x14ac:dyDescent="0.35">
      <c r="A1" s="18"/>
      <c r="B1" s="19" t="s">
        <v>103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22" x14ac:dyDescent="0.35">
      <c r="A2" s="18"/>
      <c r="B2" s="18" t="s">
        <v>104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22" x14ac:dyDescent="0.35">
      <c r="A3" s="18"/>
      <c r="B3" s="18" t="s">
        <v>105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22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22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22" ht="15" thickBot="1" x14ac:dyDescent="0.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9" t="s">
        <v>1</v>
      </c>
      <c r="O6" s="9" t="s">
        <v>2</v>
      </c>
      <c r="P6" s="10" t="s">
        <v>3</v>
      </c>
      <c r="Q6" s="10" t="s">
        <v>4</v>
      </c>
      <c r="R6" s="10" t="s">
        <v>4</v>
      </c>
      <c r="S6" s="10" t="s">
        <v>5</v>
      </c>
      <c r="T6" s="10" t="s">
        <v>6</v>
      </c>
      <c r="U6" s="10" t="s">
        <v>7</v>
      </c>
    </row>
    <row r="7" spans="1:22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t="s">
        <v>38</v>
      </c>
      <c r="O7" t="s">
        <v>40</v>
      </c>
      <c r="P7" s="2">
        <f>'Data-Cons'!D5</f>
        <v>4038</v>
      </c>
      <c r="Q7" s="2">
        <f>'Data-Cons'!E5</f>
        <v>217</v>
      </c>
      <c r="R7" s="2" t="e">
        <f>'Data-Cons'!#REF!</f>
        <v>#REF!</v>
      </c>
      <c r="S7" s="5">
        <f>Q7/P7</f>
        <v>5.3739474987617636E-2</v>
      </c>
      <c r="T7" s="76"/>
      <c r="U7" s="16" t="e">
        <f>P7/T7*100</f>
        <v>#DIV/0!</v>
      </c>
    </row>
    <row r="8" spans="1:22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t="s">
        <v>44</v>
      </c>
      <c r="O8" t="s">
        <v>46</v>
      </c>
      <c r="P8" s="2">
        <f>'Data-Cons'!D8</f>
        <v>4066</v>
      </c>
      <c r="Q8" s="2">
        <f>'Data-Cons'!E8</f>
        <v>211</v>
      </c>
      <c r="R8" s="2" t="e">
        <f>'Data-Cons'!#REF!</f>
        <v>#REF!</v>
      </c>
      <c r="S8" s="5">
        <f t="shared" ref="S8:S9" si="0">Q8/P8</f>
        <v>5.1893753074274469E-2</v>
      </c>
      <c r="T8" s="76"/>
      <c r="U8" s="74" t="e">
        <f t="shared" ref="U8:U10" si="1">P8/T8*100</f>
        <v>#DIV/0!</v>
      </c>
    </row>
    <row r="9" spans="1:22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t="s">
        <v>52</v>
      </c>
      <c r="O9" t="str">
        <f>'Data-Cons'!C15</f>
        <v>Lst 3 Qtr 21</v>
      </c>
      <c r="P9" s="2">
        <f>'Data-Cons'!D15</f>
        <v>8315</v>
      </c>
      <c r="Q9" s="2">
        <f>'Data-Cons'!E15</f>
        <v>700</v>
      </c>
      <c r="R9" s="2" t="e">
        <f>'Data-Cons'!#REF!</f>
        <v>#REF!</v>
      </c>
      <c r="S9" s="5">
        <f t="shared" si="0"/>
        <v>8.4185207456404093E-2</v>
      </c>
      <c r="T9" s="76">
        <f>'Data-Cons'!F15</f>
        <v>2670</v>
      </c>
      <c r="U9" s="74">
        <f t="shared" si="1"/>
        <v>311.4232209737828</v>
      </c>
    </row>
    <row r="10" spans="1:22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t="s">
        <v>56</v>
      </c>
      <c r="O10" t="str">
        <f>'Data-Cons'!C16</f>
        <v>Lst 3 Qtr 22</v>
      </c>
      <c r="P10" s="2">
        <f>'Data-Cons'!D16</f>
        <v>8792</v>
      </c>
      <c r="Q10" s="2">
        <f>'Data-Cons'!E16</f>
        <v>660</v>
      </c>
      <c r="R10" s="2" t="e">
        <f>'Data-Cons'!#REF!</f>
        <v>#REF!</v>
      </c>
      <c r="S10" s="5">
        <f>Q10/P10</f>
        <v>7.5068243858052774E-2</v>
      </c>
      <c r="T10" s="76">
        <f>'Data-Cons'!F16</f>
        <v>2520</v>
      </c>
      <c r="U10" s="74">
        <f t="shared" si="1"/>
        <v>348.88888888888891</v>
      </c>
    </row>
    <row r="11" spans="1:22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P11" s="2"/>
      <c r="Q11" s="2"/>
      <c r="R11" s="2"/>
      <c r="S11" s="5"/>
    </row>
    <row r="12" spans="1:22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6" t="s">
        <v>12</v>
      </c>
      <c r="O12" t="s">
        <v>71</v>
      </c>
      <c r="P12" s="80">
        <f>(P8-P7)/P7</f>
        <v>6.9341258048538877E-3</v>
      </c>
      <c r="Q12" s="80">
        <f>(Q8-Q7)/Q7</f>
        <v>-2.7649769585253458E-2</v>
      </c>
      <c r="R12" s="80" t="e">
        <f>(R8-R7)/R7</f>
        <v>#REF!</v>
      </c>
      <c r="S12" s="80">
        <f t="shared" ref="S12" si="2">(S8-S7)/S7</f>
        <v>-3.4345737723869611E-2</v>
      </c>
      <c r="T12" s="80">
        <v>-8.5000000000000006E-2</v>
      </c>
      <c r="U12" s="80">
        <v>0.13800000000000001</v>
      </c>
    </row>
    <row r="13" spans="1:22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O13" t="s">
        <v>122</v>
      </c>
      <c r="P13" s="80">
        <f>(P10-P9)/P9</f>
        <v>5.7366205652435359E-2</v>
      </c>
      <c r="Q13" s="80">
        <f>(Q10-Q9)/Q9</f>
        <v>-5.7142857142857141E-2</v>
      </c>
      <c r="R13" s="80" t="e">
        <f>(R10-R9)/R9</f>
        <v>#REF!</v>
      </c>
      <c r="S13" s="80">
        <f t="shared" ref="S13" si="3">(S10-S9)/S9</f>
        <v>-0.10829650331470173</v>
      </c>
      <c r="T13" s="80">
        <v>-5.5E-2</v>
      </c>
      <c r="U13" s="80">
        <v>0.14199999999999999</v>
      </c>
      <c r="V13" s="73"/>
    </row>
    <row r="14" spans="1:22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22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22" ht="6.75" customHeigh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21" ht="15" customHeight="1" thickBot="1" x14ac:dyDescent="0.4">
      <c r="A17" s="18"/>
      <c r="B17" s="26" t="s">
        <v>112</v>
      </c>
      <c r="C17" s="24"/>
      <c r="D17" s="24"/>
      <c r="E17" s="25" t="s">
        <v>113</v>
      </c>
      <c r="F17" s="27" t="s">
        <v>114</v>
      </c>
      <c r="G17" s="20"/>
      <c r="H17" s="26" t="s">
        <v>115</v>
      </c>
      <c r="I17" s="25" t="str">
        <f>O24</f>
        <v>Q2 2021</v>
      </c>
      <c r="J17" s="25" t="str">
        <f>O25</f>
        <v>Q2 2022</v>
      </c>
      <c r="K17" s="25" t="str">
        <f>O26</f>
        <v>Lst 3 Qtr 21</v>
      </c>
      <c r="L17" s="27" t="str">
        <f>O27</f>
        <v>Lst 3 Qtr 22</v>
      </c>
      <c r="M17" s="18"/>
    </row>
    <row r="18" spans="1:21" x14ac:dyDescent="0.35">
      <c r="A18" s="18"/>
      <c r="B18" s="28" t="s">
        <v>116</v>
      </c>
      <c r="C18" s="13"/>
      <c r="D18" s="13"/>
      <c r="E18" s="15">
        <f>T12</f>
        <v>-8.5000000000000006E-2</v>
      </c>
      <c r="F18" s="32">
        <f>U12</f>
        <v>0.13800000000000001</v>
      </c>
      <c r="G18" s="18"/>
      <c r="H18" s="28" t="s">
        <v>27</v>
      </c>
      <c r="I18" s="22">
        <f>P7</f>
        <v>4038</v>
      </c>
      <c r="J18" s="22">
        <f>P8</f>
        <v>4066</v>
      </c>
      <c r="K18" s="22">
        <f>P9</f>
        <v>8315</v>
      </c>
      <c r="L18" s="29">
        <f>P10</f>
        <v>8792</v>
      </c>
      <c r="M18" s="18"/>
    </row>
    <row r="19" spans="1:21" x14ac:dyDescent="0.35">
      <c r="A19" s="18"/>
      <c r="B19" s="33" t="s">
        <v>117</v>
      </c>
      <c r="C19" s="14"/>
      <c r="D19" s="14"/>
      <c r="E19" s="34">
        <f>T13</f>
        <v>-5.5E-2</v>
      </c>
      <c r="F19" s="35">
        <f>U13</f>
        <v>0.14199999999999999</v>
      </c>
      <c r="G19" s="18"/>
      <c r="H19" s="28" t="s">
        <v>118</v>
      </c>
      <c r="I19" s="22">
        <f>Q7</f>
        <v>217</v>
      </c>
      <c r="J19" s="22">
        <f>Q8</f>
        <v>211</v>
      </c>
      <c r="K19" s="22">
        <f>Q9</f>
        <v>700</v>
      </c>
      <c r="L19" s="29">
        <f>Q10</f>
        <v>660</v>
      </c>
      <c r="M19" s="18"/>
    </row>
    <row r="20" spans="1:21" x14ac:dyDescent="0.35">
      <c r="A20" s="18"/>
      <c r="B20" s="18"/>
      <c r="C20" s="18"/>
      <c r="D20" s="18"/>
      <c r="E20" s="18"/>
      <c r="F20" s="18"/>
      <c r="G20" s="18"/>
      <c r="H20" s="30" t="s">
        <v>119</v>
      </c>
      <c r="I20" s="23">
        <f>I19/I18</f>
        <v>5.3739474987617636E-2</v>
      </c>
      <c r="J20" s="23">
        <f>J19/J18</f>
        <v>5.1893753074274469E-2</v>
      </c>
      <c r="K20" s="23">
        <f>K19/K18</f>
        <v>8.4185207456404093E-2</v>
      </c>
      <c r="L20" s="31">
        <f>L19/L18</f>
        <v>7.5068243858052774E-2</v>
      </c>
      <c r="M20" s="18"/>
    </row>
    <row r="21" spans="1:21" ht="9" customHeight="1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2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21" ht="15" thickBot="1" x14ac:dyDescent="0.4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9" t="s">
        <v>22</v>
      </c>
      <c r="O23" s="9" t="s">
        <v>2</v>
      </c>
      <c r="P23" s="10" t="s">
        <v>23</v>
      </c>
      <c r="Q23" s="10" t="s">
        <v>24</v>
      </c>
      <c r="R23" s="10" t="s">
        <v>123</v>
      </c>
      <c r="S23" s="10" t="s">
        <v>5</v>
      </c>
      <c r="T23" s="10" t="s">
        <v>6</v>
      </c>
      <c r="U23" s="10" t="s">
        <v>7</v>
      </c>
    </row>
    <row r="24" spans="1:2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t="s">
        <v>40</v>
      </c>
      <c r="O24" t="s">
        <v>40</v>
      </c>
      <c r="P24" s="2">
        <f>'Data-Cons'!D24</f>
        <v>3717.2719999999999</v>
      </c>
      <c r="Q24" s="2">
        <f>'Data-Cons'!E24</f>
        <v>192.54900000000001</v>
      </c>
      <c r="R24" s="2" t="e">
        <f>'Data-Cons'!#REF!</f>
        <v>#REF!</v>
      </c>
      <c r="S24" s="5" t="e">
        <f>R24/P24</f>
        <v>#REF!</v>
      </c>
      <c r="T24" s="8">
        <f>'Data-Cons'!F24</f>
        <v>0</v>
      </c>
      <c r="U24" s="74" t="e">
        <f>P24/T24*100</f>
        <v>#DIV/0!</v>
      </c>
    </row>
    <row r="25" spans="1:2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t="s">
        <v>46</v>
      </c>
      <c r="O25" t="s">
        <v>46</v>
      </c>
      <c r="P25" s="2">
        <f>'Data-Cons'!D28</f>
        <v>3743.2000000000007</v>
      </c>
      <c r="Q25" s="2">
        <f>'Data-Cons'!E28</f>
        <v>293.59999999999997</v>
      </c>
      <c r="R25" s="2" t="e">
        <f>'Data-Cons'!#REF!</f>
        <v>#REF!</v>
      </c>
      <c r="S25" s="5" t="e">
        <f>R25/P25</f>
        <v>#REF!</v>
      </c>
      <c r="T25" s="8">
        <f>'Data-Cons'!F28</f>
        <v>0</v>
      </c>
      <c r="U25" s="74" t="e">
        <f t="shared" ref="U25:U27" si="4">P25/T25*100</f>
        <v>#DIV/0!</v>
      </c>
    </row>
    <row r="26" spans="1:2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t="s">
        <v>54</v>
      </c>
      <c r="O26" t="str">
        <f>'Data-Cons'!C35</f>
        <v>Lst 3 Qtr 21</v>
      </c>
      <c r="P26" s="2">
        <f>'Data-Cons'!D35</f>
        <v>10746.099</v>
      </c>
      <c r="Q26" s="2">
        <f>'Data-Cons'!E35</f>
        <v>381.18799999999999</v>
      </c>
      <c r="R26" s="2" t="e">
        <f>'Data-Cons'!#REF!</f>
        <v>#REF!</v>
      </c>
      <c r="S26" s="5" t="e">
        <f>R26/P26</f>
        <v>#REF!</v>
      </c>
      <c r="T26" s="8">
        <f>'Data-Cons'!F35</f>
        <v>0</v>
      </c>
      <c r="U26" s="74" t="e">
        <f t="shared" si="4"/>
        <v>#DIV/0!</v>
      </c>
    </row>
    <row r="27" spans="1:21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t="s">
        <v>58</v>
      </c>
      <c r="O27" t="str">
        <f>'Data-Cons'!C36</f>
        <v>Lst 3 Qtr 22</v>
      </c>
      <c r="P27" s="2">
        <f>'Data-Cons'!D36</f>
        <v>11240.328</v>
      </c>
      <c r="Q27" s="2">
        <f>'Data-Cons'!E36</f>
        <v>1026.8999999999999</v>
      </c>
      <c r="R27" s="2" t="e">
        <f>'Data-Cons'!#REF!</f>
        <v>#REF!</v>
      </c>
      <c r="S27" s="5" t="e">
        <f>R27/P27</f>
        <v>#REF!</v>
      </c>
      <c r="T27" s="8">
        <f>'Data-Cons'!F36</f>
        <v>0</v>
      </c>
      <c r="U27" s="74" t="e">
        <f t="shared" si="4"/>
        <v>#DIV/0!</v>
      </c>
    </row>
    <row r="28" spans="1:21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P28" s="74"/>
      <c r="Q28" s="74"/>
      <c r="R28" s="74"/>
      <c r="S28" s="5"/>
      <c r="T28" s="8"/>
      <c r="U28" s="1"/>
    </row>
    <row r="29" spans="1:21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P29" s="74"/>
      <c r="Q29" s="74"/>
      <c r="R29" s="74"/>
      <c r="S29" s="5"/>
      <c r="T29" s="8"/>
      <c r="U29" s="1"/>
    </row>
    <row r="30" spans="1:21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P30" s="74"/>
      <c r="Q30" s="74"/>
      <c r="R30" s="74"/>
      <c r="S30" s="5"/>
      <c r="T30" s="7"/>
      <c r="U30" s="1"/>
    </row>
    <row r="31" spans="1:21" ht="15" customHeight="1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P31" s="74"/>
      <c r="Q31" s="74"/>
      <c r="R31" s="74"/>
      <c r="S31" s="5"/>
      <c r="T31" s="8"/>
      <c r="U31" s="1"/>
    </row>
    <row r="32" spans="1:21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P32" s="74"/>
      <c r="Q32" s="74"/>
      <c r="R32" s="74"/>
      <c r="S32" s="5"/>
      <c r="T32" s="7"/>
      <c r="U32" s="1"/>
    </row>
    <row r="33" spans="1:25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P33" s="74"/>
      <c r="Q33" s="74"/>
      <c r="R33" s="74"/>
      <c r="S33" s="5"/>
      <c r="T33" s="8"/>
      <c r="U33" s="1"/>
    </row>
    <row r="34" spans="1:25" ht="15.75" customHeight="1" thickBot="1" x14ac:dyDescent="0.4">
      <c r="A34" s="18"/>
      <c r="B34" s="26" t="s">
        <v>112</v>
      </c>
      <c r="C34" s="24"/>
      <c r="D34" s="24"/>
      <c r="E34" s="25" t="s">
        <v>113</v>
      </c>
      <c r="F34" s="27" t="s">
        <v>114</v>
      </c>
      <c r="G34" s="18"/>
      <c r="H34" s="26" t="s">
        <v>115</v>
      </c>
      <c r="I34" s="25" t="str">
        <f>I17</f>
        <v>Q2 2021</v>
      </c>
      <c r="J34" s="25" t="str">
        <f>J17</f>
        <v>Q2 2022</v>
      </c>
      <c r="K34" s="25" t="str">
        <f>K17</f>
        <v>Lst 3 Qtr 21</v>
      </c>
      <c r="L34" s="25" t="str">
        <f>L17</f>
        <v>Lst 3 Qtr 22</v>
      </c>
      <c r="M34" s="18"/>
      <c r="N34" s="6" t="s">
        <v>12</v>
      </c>
      <c r="O34" t="s">
        <v>71</v>
      </c>
      <c r="P34" s="5">
        <f>(P25-P24)/P24</f>
        <v>6.9750074786028016E-3</v>
      </c>
      <c r="Q34" s="5">
        <f t="shared" ref="Q34:S34" si="5">(Q25-Q24)/Q24</f>
        <v>0.52480667258723734</v>
      </c>
      <c r="R34" s="5" t="e">
        <f t="shared" si="5"/>
        <v>#REF!</v>
      </c>
      <c r="S34" s="5" t="e">
        <f t="shared" si="5"/>
        <v>#REF!</v>
      </c>
      <c r="T34" s="5" t="e">
        <f>(T25-T24)/T24</f>
        <v>#DIV/0!</v>
      </c>
      <c r="U34" s="5" t="e">
        <f>(U25-U24)/U24</f>
        <v>#DIV/0!</v>
      </c>
      <c r="V34" s="3"/>
      <c r="W34" s="3"/>
    </row>
    <row r="35" spans="1:25" x14ac:dyDescent="0.35">
      <c r="A35" s="18"/>
      <c r="B35" s="28" t="s">
        <v>116</v>
      </c>
      <c r="C35" s="13"/>
      <c r="D35" s="13"/>
      <c r="E35" s="15" t="e">
        <f>T34</f>
        <v>#DIV/0!</v>
      </c>
      <c r="F35" s="32" t="e">
        <f>U34</f>
        <v>#DIV/0!</v>
      </c>
      <c r="G35" s="18"/>
      <c r="H35" s="28" t="s">
        <v>27</v>
      </c>
      <c r="I35" s="22">
        <f>P24</f>
        <v>3717.2719999999999</v>
      </c>
      <c r="J35" s="22">
        <f>P25</f>
        <v>3743.2000000000007</v>
      </c>
      <c r="K35" s="22">
        <f>P26</f>
        <v>10746.099</v>
      </c>
      <c r="L35" s="29">
        <f>P27</f>
        <v>11240.328</v>
      </c>
      <c r="M35" s="18"/>
      <c r="O35" t="s">
        <v>122</v>
      </c>
      <c r="P35" s="5">
        <f>(P27-P26)/P26</f>
        <v>4.5991480257161169E-2</v>
      </c>
      <c r="Q35" s="5">
        <f t="shared" ref="Q35:U35" si="6">(Q27-Q26)/Q26</f>
        <v>1.6939462942170265</v>
      </c>
      <c r="R35" s="5" t="e">
        <f t="shared" si="6"/>
        <v>#REF!</v>
      </c>
      <c r="S35" s="5" t="e">
        <f t="shared" si="6"/>
        <v>#REF!</v>
      </c>
      <c r="T35" s="5" t="e">
        <f>(T27-T26)/T26</f>
        <v>#DIV/0!</v>
      </c>
      <c r="U35" s="5" t="e">
        <f t="shared" si="6"/>
        <v>#DIV/0!</v>
      </c>
      <c r="V35" s="3"/>
      <c r="W35" s="3"/>
    </row>
    <row r="36" spans="1:25" x14ac:dyDescent="0.35">
      <c r="A36" s="18"/>
      <c r="B36" s="33" t="s">
        <v>117</v>
      </c>
      <c r="C36" s="14"/>
      <c r="D36" s="14"/>
      <c r="E36" s="34" t="e">
        <f>T35</f>
        <v>#DIV/0!</v>
      </c>
      <c r="F36" s="35" t="e">
        <f>U35</f>
        <v>#DIV/0!</v>
      </c>
      <c r="G36" s="18"/>
      <c r="H36" s="28" t="s">
        <v>118</v>
      </c>
      <c r="I36" s="22" t="e">
        <f>R24</f>
        <v>#REF!</v>
      </c>
      <c r="J36" s="22" t="e">
        <f>R25</f>
        <v>#REF!</v>
      </c>
      <c r="K36" s="22" t="e">
        <f>R26</f>
        <v>#REF!</v>
      </c>
      <c r="L36" s="29" t="e">
        <f>R27</f>
        <v>#REF!</v>
      </c>
      <c r="M36" s="18"/>
    </row>
    <row r="37" spans="1:25" x14ac:dyDescent="0.35">
      <c r="A37" s="18"/>
      <c r="B37" s="18"/>
      <c r="C37" s="18"/>
      <c r="D37" s="18"/>
      <c r="E37" s="18"/>
      <c r="F37" s="18"/>
      <c r="G37" s="18"/>
      <c r="H37" s="30" t="s">
        <v>119</v>
      </c>
      <c r="I37" s="23" t="e">
        <f>I36/I35</f>
        <v>#REF!</v>
      </c>
      <c r="J37" s="23" t="e">
        <f>J36/J35</f>
        <v>#REF!</v>
      </c>
      <c r="K37" s="23" t="e">
        <f>K36/K35</f>
        <v>#REF!</v>
      </c>
      <c r="L37" s="31" t="e">
        <f>L36/L35</f>
        <v>#REF!</v>
      </c>
      <c r="M37" s="18"/>
      <c r="V37" s="4"/>
      <c r="W37" s="4"/>
      <c r="X37" s="4"/>
      <c r="Y37" s="4"/>
    </row>
    <row r="38" spans="1:25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V38" s="4"/>
      <c r="X38" s="4"/>
      <c r="Y38" s="4"/>
    </row>
    <row r="40" spans="1:25" x14ac:dyDescent="0.35">
      <c r="V40" s="16"/>
      <c r="W40" s="16"/>
      <c r="X40" s="16"/>
    </row>
  </sheetData>
  <phoneticPr fontId="4" type="noConversion"/>
  <pageMargins left="0.7" right="0.7" top="0.5" bottom="0.5" header="0.3" footer="0.3"/>
  <pageSetup orientation="landscape" r:id="rId1"/>
  <colBreaks count="1" manualBreakCount="1">
    <brk id="12" max="37" man="1"/>
  </colBreaks>
  <customProperties>
    <customPr name="_pios_i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0420-3B53-4B41-BBFD-1314B9E6797C}">
  <dimension ref="B1:Y40"/>
  <sheetViews>
    <sheetView zoomScaleNormal="100" workbookViewId="0">
      <selection activeCell="P35" sqref="P35"/>
    </sheetView>
  </sheetViews>
  <sheetFormatPr defaultRowHeight="14.5" x14ac:dyDescent="0.35"/>
  <cols>
    <col min="2" max="6" width="11.7265625" customWidth="1"/>
    <col min="7" max="7" width="3.453125" customWidth="1"/>
    <col min="8" max="12" width="11.7265625" customWidth="1"/>
    <col min="13" max="13" width="9.54296875" customWidth="1"/>
    <col min="14" max="14" width="15.81640625" bestFit="1" customWidth="1"/>
    <col min="15" max="15" width="12.54296875" bestFit="1" customWidth="1"/>
    <col min="16" max="16" width="15.453125" bestFit="1" customWidth="1"/>
    <col min="17" max="17" width="21.1796875" bestFit="1" customWidth="1"/>
    <col min="18" max="18" width="25.54296875" bestFit="1" customWidth="1"/>
    <col min="19" max="19" width="8" bestFit="1" customWidth="1"/>
  </cols>
  <sheetData>
    <row r="1" spans="2:19" x14ac:dyDescent="0.35">
      <c r="B1" s="19" t="s">
        <v>103</v>
      </c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2:19" x14ac:dyDescent="0.35">
      <c r="B2" s="18" t="s">
        <v>104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2:19" x14ac:dyDescent="0.35">
      <c r="B3" s="18" t="s">
        <v>105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19" x14ac:dyDescent="0.3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2:19" x14ac:dyDescent="0.3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P5" s="124" t="s">
        <v>1</v>
      </c>
      <c r="Q5" s="124"/>
      <c r="R5" s="124"/>
    </row>
    <row r="6" spans="2:19" ht="15" thickBot="1" x14ac:dyDescent="0.4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O6" s="9" t="s">
        <v>2</v>
      </c>
      <c r="P6" s="10" t="s">
        <v>3</v>
      </c>
      <c r="Q6" s="10" t="s">
        <v>125</v>
      </c>
      <c r="R6" s="10" t="s">
        <v>125</v>
      </c>
      <c r="S6" s="10" t="s">
        <v>5</v>
      </c>
    </row>
    <row r="7" spans="2:19" x14ac:dyDescent="0.3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N7" t="s">
        <v>37</v>
      </c>
      <c r="O7" t="s">
        <v>38</v>
      </c>
      <c r="P7" s="2">
        <v>2164</v>
      </c>
      <c r="Q7" s="2">
        <v>217</v>
      </c>
      <c r="R7" s="2">
        <v>217</v>
      </c>
      <c r="S7" s="5">
        <f>Q7/P7</f>
        <v>0.10027726432532348</v>
      </c>
    </row>
    <row r="8" spans="2:19" x14ac:dyDescent="0.3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N8" t="s">
        <v>43</v>
      </c>
      <c r="O8" t="s">
        <v>44</v>
      </c>
      <c r="P8" s="2">
        <v>2393</v>
      </c>
      <c r="Q8" s="2">
        <v>263</v>
      </c>
      <c r="R8" s="2">
        <v>263</v>
      </c>
      <c r="S8" s="5">
        <f>Q8/P8</f>
        <v>0.10990388633514417</v>
      </c>
    </row>
    <row r="9" spans="2:19" x14ac:dyDescent="0.3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N9" t="s">
        <v>51</v>
      </c>
      <c r="O9" t="s">
        <v>52</v>
      </c>
      <c r="P9" s="2">
        <v>4277</v>
      </c>
      <c r="Q9" s="2">
        <v>483</v>
      </c>
      <c r="R9" s="2">
        <v>483</v>
      </c>
      <c r="S9" s="5">
        <f>Q9/P9</f>
        <v>0.11292962356792144</v>
      </c>
    </row>
    <row r="10" spans="2:19" x14ac:dyDescent="0.3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N10" t="s">
        <v>55</v>
      </c>
      <c r="O10" t="s">
        <v>56</v>
      </c>
      <c r="P10" s="2">
        <v>4726</v>
      </c>
      <c r="Q10" s="2">
        <v>449</v>
      </c>
      <c r="R10" s="2">
        <v>449</v>
      </c>
      <c r="S10" s="5">
        <f>Q10/P10</f>
        <v>9.5006347862886156E-2</v>
      </c>
    </row>
    <row r="11" spans="2:19" x14ac:dyDescent="0.3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P11" s="2"/>
      <c r="Q11" s="2"/>
      <c r="R11" s="2"/>
    </row>
    <row r="12" spans="2:19" x14ac:dyDescent="0.3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N12" s="6" t="s">
        <v>12</v>
      </c>
      <c r="O12" t="s">
        <v>70</v>
      </c>
      <c r="P12" s="4">
        <f>(P8-P7)/P7</f>
        <v>0.10582255083179297</v>
      </c>
      <c r="Q12" s="4">
        <f>(Q8-Q7)/Q7</f>
        <v>0.2119815668202765</v>
      </c>
      <c r="R12" s="4">
        <f>(R8-R7)/R7</f>
        <v>0.2119815668202765</v>
      </c>
    </row>
    <row r="13" spans="2:19" x14ac:dyDescent="0.3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O13" t="s">
        <v>126</v>
      </c>
      <c r="P13" s="4">
        <f>(P10-P9)/P9</f>
        <v>0.104980126256722</v>
      </c>
      <c r="Q13" s="4">
        <f>(Q10-Q9)/Q9</f>
        <v>-7.0393374741200831E-2</v>
      </c>
      <c r="R13" s="4">
        <f>(R10-R9)/R9</f>
        <v>-7.0393374741200831E-2</v>
      </c>
    </row>
    <row r="14" spans="2:19" x14ac:dyDescent="0.3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2:19" x14ac:dyDescent="0.3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2:19" ht="6" customHeight="1" x14ac:dyDescent="0.3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21" ht="15" customHeight="1" thickBot="1" x14ac:dyDescent="0.4">
      <c r="B17" s="26" t="s">
        <v>112</v>
      </c>
      <c r="C17" s="24"/>
      <c r="D17" s="24"/>
      <c r="E17" s="25" t="s">
        <v>113</v>
      </c>
      <c r="F17" s="27" t="s">
        <v>114</v>
      </c>
      <c r="G17" s="20"/>
      <c r="H17" s="26" t="s">
        <v>115</v>
      </c>
      <c r="I17" s="25" t="str">
        <f>O26</f>
        <v>Q1 2021</v>
      </c>
      <c r="J17" s="25" t="str">
        <f>O27</f>
        <v>Q1 2022</v>
      </c>
      <c r="K17" s="25" t="str">
        <f>O28</f>
        <v>Q4&amp;Q1 2021</v>
      </c>
      <c r="L17" s="27" t="str">
        <f>O29</f>
        <v>Q4&amp;Q1 2022</v>
      </c>
    </row>
    <row r="18" spans="2:21" x14ac:dyDescent="0.35">
      <c r="B18" s="28" t="s">
        <v>127</v>
      </c>
      <c r="C18" s="13"/>
      <c r="D18" s="13"/>
      <c r="E18" s="15">
        <v>-5.2999999999999999E-2</v>
      </c>
      <c r="F18" s="32">
        <v>0.159</v>
      </c>
      <c r="G18" s="18"/>
      <c r="H18" s="28" t="s">
        <v>27</v>
      </c>
      <c r="I18" s="22">
        <f>P7</f>
        <v>2164</v>
      </c>
      <c r="J18" s="22">
        <f>P8</f>
        <v>2393</v>
      </c>
      <c r="K18" s="22">
        <f>P9</f>
        <v>4277</v>
      </c>
      <c r="L18" s="29">
        <f>P10</f>
        <v>4726</v>
      </c>
    </row>
    <row r="19" spans="2:21" x14ac:dyDescent="0.35">
      <c r="B19" s="33" t="s">
        <v>128</v>
      </c>
      <c r="C19" s="14"/>
      <c r="D19" s="14"/>
      <c r="E19" s="34">
        <v>-0.04</v>
      </c>
      <c r="F19" s="35">
        <v>0.14499999999999999</v>
      </c>
      <c r="G19" s="18"/>
      <c r="H19" s="28" t="s">
        <v>118</v>
      </c>
      <c r="I19" s="22">
        <f>R7</f>
        <v>217</v>
      </c>
      <c r="J19" s="22">
        <f>R8</f>
        <v>263</v>
      </c>
      <c r="K19" s="22">
        <f>R9</f>
        <v>483</v>
      </c>
      <c r="L19" s="29">
        <f>R10</f>
        <v>449</v>
      </c>
    </row>
    <row r="20" spans="2:21" x14ac:dyDescent="0.35">
      <c r="B20" s="18"/>
      <c r="C20" s="18"/>
      <c r="D20" s="18"/>
      <c r="E20" s="18"/>
      <c r="F20" s="18"/>
      <c r="G20" s="18"/>
      <c r="H20" s="30" t="s">
        <v>119</v>
      </c>
      <c r="I20" s="23">
        <f>I19/I18</f>
        <v>0.10027726432532348</v>
      </c>
      <c r="J20" s="23">
        <f>J19/J18</f>
        <v>0.10990388633514417</v>
      </c>
      <c r="K20" s="23">
        <f>K19/K18</f>
        <v>0.11292962356792144</v>
      </c>
      <c r="L20" s="31">
        <f>L19/L18</f>
        <v>9.5006347862886156E-2</v>
      </c>
    </row>
    <row r="21" spans="2:21" ht="9" customHeight="1" x14ac:dyDescent="0.3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2:21" x14ac:dyDescent="0.3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P22" s="124" t="s">
        <v>65</v>
      </c>
      <c r="Q22" s="125"/>
      <c r="R22" s="125"/>
      <c r="S22" s="125"/>
      <c r="T22" s="125"/>
      <c r="U22" s="125"/>
    </row>
    <row r="23" spans="2:21" ht="15" thickBot="1" x14ac:dyDescent="0.4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N23" s="9" t="s">
        <v>22</v>
      </c>
      <c r="O23" s="9" t="s">
        <v>2</v>
      </c>
      <c r="P23" s="10" t="s">
        <v>129</v>
      </c>
      <c r="Q23" s="10" t="s">
        <v>130</v>
      </c>
      <c r="R23" s="10" t="s">
        <v>131</v>
      </c>
      <c r="S23" s="10" t="s">
        <v>5</v>
      </c>
      <c r="T23" s="10" t="s">
        <v>6</v>
      </c>
      <c r="U23" s="10" t="s">
        <v>7</v>
      </c>
    </row>
    <row r="24" spans="2:21" x14ac:dyDescent="0.3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N24" t="s">
        <v>67</v>
      </c>
      <c r="P24" s="2">
        <v>2171.6999999999998</v>
      </c>
      <c r="Q24" s="2">
        <v>175.8</v>
      </c>
      <c r="R24" s="2">
        <v>162.5</v>
      </c>
      <c r="S24" s="5">
        <f>R24/P24</f>
        <v>7.4826173044158964E-2</v>
      </c>
      <c r="T24" s="8">
        <v>977.5</v>
      </c>
      <c r="U24" s="1">
        <f t="shared" ref="U24:U29" si="0">P24/T24*100</f>
        <v>222.16879795396414</v>
      </c>
    </row>
    <row r="25" spans="2:21" x14ac:dyDescent="0.3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N25" t="s">
        <v>68</v>
      </c>
      <c r="P25" s="2">
        <v>2565.3000000000002</v>
      </c>
      <c r="Q25" s="2">
        <v>358.4</v>
      </c>
      <c r="R25" s="2">
        <v>359.2</v>
      </c>
      <c r="S25" s="5">
        <f t="shared" ref="S25:S29" si="1">R25/P25</f>
        <v>0.14002260944139086</v>
      </c>
      <c r="T25" s="8">
        <v>945.9</v>
      </c>
      <c r="U25" s="1">
        <f t="shared" si="0"/>
        <v>271.20202981287662</v>
      </c>
    </row>
    <row r="26" spans="2:21" x14ac:dyDescent="0.3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N26" t="s">
        <v>38</v>
      </c>
      <c r="O26" t="s">
        <v>38</v>
      </c>
      <c r="P26" s="2">
        <v>1916.5</v>
      </c>
      <c r="Q26" s="2">
        <v>192</v>
      </c>
      <c r="R26" s="2">
        <v>188.6</v>
      </c>
      <c r="S26" s="5">
        <f t="shared" si="1"/>
        <v>9.8408557265849197E-2</v>
      </c>
      <c r="T26" s="8">
        <v>812.4</v>
      </c>
      <c r="U26" s="1">
        <f t="shared" si="0"/>
        <v>235.90595765632693</v>
      </c>
    </row>
    <row r="27" spans="2:21" x14ac:dyDescent="0.3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N27" t="s">
        <v>44</v>
      </c>
      <c r="O27" t="s">
        <v>44</v>
      </c>
      <c r="P27" s="2">
        <v>2232.8000000000002</v>
      </c>
      <c r="Q27" s="2">
        <v>300.2</v>
      </c>
      <c r="R27" s="2">
        <v>300.60000000000002</v>
      </c>
      <c r="S27" s="5">
        <f t="shared" si="1"/>
        <v>0.13462916517377285</v>
      </c>
      <c r="T27" s="8">
        <v>784.1</v>
      </c>
      <c r="U27" s="1">
        <f t="shared" si="0"/>
        <v>284.75959699017983</v>
      </c>
    </row>
    <row r="28" spans="2:21" x14ac:dyDescent="0.3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N28" t="s">
        <v>132</v>
      </c>
      <c r="O28" t="s">
        <v>52</v>
      </c>
      <c r="P28" s="2">
        <f t="shared" ref="P28:R29" si="2">P24+P26</f>
        <v>4088.2</v>
      </c>
      <c r="Q28" s="2">
        <f t="shared" si="2"/>
        <v>367.8</v>
      </c>
      <c r="R28" s="2">
        <f t="shared" si="2"/>
        <v>351.1</v>
      </c>
      <c r="S28" s="5">
        <f t="shared" si="1"/>
        <v>8.5881316961009743E-2</v>
      </c>
      <c r="T28" s="7">
        <f>T24+T26</f>
        <v>1789.9</v>
      </c>
      <c r="U28" s="1">
        <f t="shared" si="0"/>
        <v>228.40382144253866</v>
      </c>
    </row>
    <row r="29" spans="2:21" x14ac:dyDescent="0.3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N29" t="s">
        <v>133</v>
      </c>
      <c r="O29" t="s">
        <v>56</v>
      </c>
      <c r="P29" s="2">
        <f t="shared" si="2"/>
        <v>4798.1000000000004</v>
      </c>
      <c r="Q29" s="2">
        <f t="shared" si="2"/>
        <v>658.59999999999991</v>
      </c>
      <c r="R29" s="2">
        <f t="shared" si="2"/>
        <v>659.8</v>
      </c>
      <c r="S29" s="5">
        <f t="shared" si="1"/>
        <v>0.13751276546966507</v>
      </c>
      <c r="T29" s="7">
        <f>T25+T27</f>
        <v>1730</v>
      </c>
      <c r="U29" s="1">
        <f t="shared" si="0"/>
        <v>277.34682080924858</v>
      </c>
    </row>
    <row r="30" spans="2:21" x14ac:dyDescent="0.3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N30" s="6" t="s">
        <v>12</v>
      </c>
      <c r="O30" t="s">
        <v>70</v>
      </c>
      <c r="P30" s="4">
        <f t="shared" ref="P30:U30" si="3">(P27-P26)/P26</f>
        <v>0.16504043829898263</v>
      </c>
      <c r="Q30" s="4">
        <f t="shared" si="3"/>
        <v>0.56354166666666661</v>
      </c>
      <c r="R30" s="4">
        <f t="shared" si="3"/>
        <v>0.59384941675503733</v>
      </c>
      <c r="S30" s="4">
        <f t="shared" si="3"/>
        <v>0.3680636005065519</v>
      </c>
      <c r="T30" s="4">
        <f t="shared" si="3"/>
        <v>-3.4835056622353464E-2</v>
      </c>
      <c r="U30" s="4">
        <f t="shared" si="3"/>
        <v>0.20708946827457392</v>
      </c>
    </row>
    <row r="31" spans="2:21" ht="15" customHeight="1" x14ac:dyDescent="0.3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O31" t="s">
        <v>126</v>
      </c>
      <c r="P31" s="4">
        <f t="shared" ref="P31:U31" si="4">(P29-P28)/P28</f>
        <v>0.17364610341959802</v>
      </c>
      <c r="Q31" s="4">
        <f t="shared" si="4"/>
        <v>0.79064709081022266</v>
      </c>
      <c r="R31" s="4">
        <f t="shared" si="4"/>
        <v>0.87923668470521199</v>
      </c>
      <c r="S31" s="4">
        <f t="shared" si="4"/>
        <v>0.60119535116230327</v>
      </c>
      <c r="T31" s="4">
        <f t="shared" si="4"/>
        <v>-3.3465556735013176E-2</v>
      </c>
      <c r="U31" s="4">
        <f t="shared" si="4"/>
        <v>0.21428275174031142</v>
      </c>
    </row>
    <row r="32" spans="2:21" x14ac:dyDescent="0.3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2:25" ht="6" customHeight="1" x14ac:dyDescent="0.3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2:25" ht="15.75" customHeight="1" thickBot="1" x14ac:dyDescent="0.4">
      <c r="B34" s="26" t="s">
        <v>112</v>
      </c>
      <c r="C34" s="24"/>
      <c r="D34" s="24"/>
      <c r="E34" s="25" t="s">
        <v>113</v>
      </c>
      <c r="F34" s="27" t="s">
        <v>114</v>
      </c>
      <c r="G34" s="18"/>
      <c r="H34" s="26" t="s">
        <v>115</v>
      </c>
      <c r="I34" s="25" t="str">
        <f>O26</f>
        <v>Q1 2021</v>
      </c>
      <c r="J34" s="25" t="str">
        <f>O27</f>
        <v>Q1 2022</v>
      </c>
      <c r="K34" s="25" t="str">
        <f>O28</f>
        <v>Q4&amp;Q1 2021</v>
      </c>
      <c r="L34" s="27" t="str">
        <f>O29</f>
        <v>Q4&amp;Q1 2022</v>
      </c>
      <c r="V34" s="3"/>
      <c r="W34" s="3"/>
    </row>
    <row r="35" spans="2:25" x14ac:dyDescent="0.35">
      <c r="B35" s="28" t="s">
        <v>127</v>
      </c>
      <c r="C35" s="13"/>
      <c r="D35" s="13"/>
      <c r="E35" s="15">
        <f>T30</f>
        <v>-3.4835056622353464E-2</v>
      </c>
      <c r="F35" s="32">
        <f>U30</f>
        <v>0.20708946827457392</v>
      </c>
      <c r="G35" s="18"/>
      <c r="H35" s="28" t="s">
        <v>27</v>
      </c>
      <c r="I35" s="22">
        <f>P26</f>
        <v>1916.5</v>
      </c>
      <c r="J35" s="22">
        <f>P27</f>
        <v>2232.8000000000002</v>
      </c>
      <c r="K35" s="22">
        <f>P28</f>
        <v>4088.2</v>
      </c>
      <c r="L35" s="29">
        <f>P29</f>
        <v>4798.1000000000004</v>
      </c>
      <c r="V35" s="3"/>
      <c r="W35" s="3"/>
    </row>
    <row r="36" spans="2:25" x14ac:dyDescent="0.35">
      <c r="B36" s="33" t="s">
        <v>128</v>
      </c>
      <c r="C36" s="14"/>
      <c r="D36" s="14"/>
      <c r="E36" s="34">
        <f>T31</f>
        <v>-3.3465556735013176E-2</v>
      </c>
      <c r="F36" s="35">
        <f>U31</f>
        <v>0.21428275174031142</v>
      </c>
      <c r="G36" s="18"/>
      <c r="H36" s="28" t="s">
        <v>118</v>
      </c>
      <c r="I36" s="22">
        <f>R26</f>
        <v>188.6</v>
      </c>
      <c r="J36" s="22">
        <f>R27</f>
        <v>300.60000000000002</v>
      </c>
      <c r="K36" s="22">
        <f>R28</f>
        <v>351.1</v>
      </c>
      <c r="L36" s="29">
        <f>R29</f>
        <v>659.8</v>
      </c>
    </row>
    <row r="37" spans="2:25" x14ac:dyDescent="0.35">
      <c r="B37" s="18"/>
      <c r="C37" s="18"/>
      <c r="D37" s="18"/>
      <c r="E37" s="18"/>
      <c r="F37" s="18"/>
      <c r="G37" s="18"/>
      <c r="H37" s="30" t="s">
        <v>119</v>
      </c>
      <c r="I37" s="23">
        <f>I36/I35</f>
        <v>9.8408557265849197E-2</v>
      </c>
      <c r="J37" s="23">
        <f>J36/J35</f>
        <v>0.13462916517377285</v>
      </c>
      <c r="K37" s="23">
        <f>K36/K35</f>
        <v>8.5881316961009743E-2</v>
      </c>
      <c r="L37" s="31">
        <f>L36/L35</f>
        <v>0.13751276546966507</v>
      </c>
      <c r="V37" s="4"/>
      <c r="W37" s="4"/>
      <c r="X37" s="4"/>
      <c r="Y37" s="4"/>
    </row>
    <row r="38" spans="2:25" ht="15" customHeight="1" x14ac:dyDescent="0.3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V38" s="4"/>
      <c r="X38" s="4"/>
      <c r="Y38" s="4"/>
    </row>
    <row r="40" spans="2:25" x14ac:dyDescent="0.35">
      <c r="V40" s="16"/>
      <c r="W40" s="16"/>
      <c r="X40" s="16"/>
    </row>
  </sheetData>
  <mergeCells count="2">
    <mergeCell ref="P22:U22"/>
    <mergeCell ref="P5:R5"/>
  </mergeCells>
  <pageMargins left="0.7" right="0.7" top="0.5" bottom="0.5" header="0.3" footer="0.3"/>
  <pageSetup orientation="landscape" r:id="rId1"/>
  <colBreaks count="1" manualBreakCount="1">
    <brk id="12" max="37" man="1"/>
  </colBreaks>
  <customProperties>
    <customPr name="_pios_i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C7DA-64F1-4CA3-A5FA-E175B42D939D}">
  <dimension ref="A1:K84"/>
  <sheetViews>
    <sheetView zoomScaleNormal="100" workbookViewId="0">
      <selection activeCell="M5" sqref="M5"/>
    </sheetView>
  </sheetViews>
  <sheetFormatPr defaultRowHeight="14.5" x14ac:dyDescent="0.35"/>
  <cols>
    <col min="1" max="1" width="17.7265625" bestFit="1" customWidth="1"/>
    <col min="2" max="6" width="8.81640625" bestFit="1" customWidth="1"/>
    <col min="7" max="7" width="1" customWidth="1"/>
    <col min="8" max="11" width="8.81640625" bestFit="1" customWidth="1"/>
    <col min="12" max="15" width="9.54296875" bestFit="1" customWidth="1"/>
    <col min="16" max="16" width="8.81640625" bestFit="1" customWidth="1"/>
    <col min="17" max="20" width="9.54296875" bestFit="1" customWidth="1"/>
  </cols>
  <sheetData>
    <row r="1" spans="1:11" x14ac:dyDescent="0.35">
      <c r="A1" s="58" t="s">
        <v>134</v>
      </c>
    </row>
    <row r="2" spans="1:11" ht="15" thickBot="1" x14ac:dyDescent="0.4">
      <c r="A2" s="58"/>
    </row>
    <row r="3" spans="1:11" ht="15" thickBot="1" x14ac:dyDescent="0.4">
      <c r="A3" s="6" t="s">
        <v>135</v>
      </c>
      <c r="B3" s="50" t="s">
        <v>44</v>
      </c>
      <c r="C3" s="51" t="s">
        <v>46</v>
      </c>
      <c r="D3" s="51" t="s">
        <v>48</v>
      </c>
      <c r="E3" s="51" t="s">
        <v>50</v>
      </c>
      <c r="F3" s="63" t="s">
        <v>136</v>
      </c>
      <c r="H3" s="50" t="s">
        <v>137</v>
      </c>
      <c r="I3" s="51" t="s">
        <v>138</v>
      </c>
      <c r="J3" s="51" t="s">
        <v>139</v>
      </c>
      <c r="K3" s="52" t="s">
        <v>140</v>
      </c>
    </row>
    <row r="4" spans="1:11" x14ac:dyDescent="0.35">
      <c r="A4" s="67" t="s">
        <v>141</v>
      </c>
      <c r="B4" s="68">
        <f>B26</f>
        <v>12.35843247457079</v>
      </c>
      <c r="C4" s="68">
        <f t="shared" ref="C4:F4" si="0">C26</f>
        <v>14.17745091590572</v>
      </c>
      <c r="D4" s="68">
        <f t="shared" si="0"/>
        <v>14.395025966008198</v>
      </c>
      <c r="E4" s="68">
        <f t="shared" si="0"/>
        <v>10.799928887854261</v>
      </c>
      <c r="F4" s="69">
        <f t="shared" si="0"/>
        <v>12.748704630993727</v>
      </c>
      <c r="G4" s="68"/>
      <c r="H4" s="68">
        <f>H26</f>
        <v>11.480839208036256</v>
      </c>
      <c r="I4" s="68">
        <f t="shared" ref="I4" si="1">I26</f>
        <v>14.28611679632824</v>
      </c>
      <c r="J4" s="42">
        <f t="shared" ref="J4:J7" si="2">H4-I4</f>
        <v>-2.8052775882919843</v>
      </c>
      <c r="K4" s="4">
        <f t="shared" ref="K4:K7" si="3">J4/H4</f>
        <v>-0.24434429726429502</v>
      </c>
    </row>
    <row r="5" spans="1:11" x14ac:dyDescent="0.35">
      <c r="A5" s="67">
        <v>2021</v>
      </c>
      <c r="B5" s="68">
        <f>B45</f>
        <v>11.44043399173724</v>
      </c>
      <c r="C5" s="68">
        <f t="shared" ref="C5:F5" si="4">C45</f>
        <v>12.679428578891901</v>
      </c>
      <c r="D5" s="68">
        <f t="shared" si="4"/>
        <v>13.865445926871239</v>
      </c>
      <c r="E5" s="68">
        <f t="shared" si="4"/>
        <v>10.503572283513961</v>
      </c>
      <c r="F5" s="69">
        <f t="shared" si="4"/>
        <v>11.969835335766721</v>
      </c>
      <c r="G5" s="68"/>
      <c r="H5" s="68">
        <f t="shared" ref="H5:I5" si="5">H45</f>
        <v>10.936436648844088</v>
      </c>
      <c r="I5" s="68">
        <f t="shared" si="5"/>
        <v>13.270389422215789</v>
      </c>
      <c r="J5" s="42">
        <f t="shared" si="2"/>
        <v>-2.3339527733717009</v>
      </c>
      <c r="K5" s="4">
        <f t="shared" si="3"/>
        <v>-0.21341071578541854</v>
      </c>
    </row>
    <row r="6" spans="1:11" x14ac:dyDescent="0.35">
      <c r="A6" s="67">
        <v>2020</v>
      </c>
      <c r="B6" s="68">
        <f>B64</f>
        <v>13.654887912511191</v>
      </c>
      <c r="C6" s="68">
        <f t="shared" ref="C6:F6" si="6">C64</f>
        <v>15.41284828990729</v>
      </c>
      <c r="D6" s="68">
        <f t="shared" si="6"/>
        <v>15.636631632229189</v>
      </c>
      <c r="E6" s="68">
        <f t="shared" si="6"/>
        <v>11.641132912299971</v>
      </c>
      <c r="F6" s="69">
        <f t="shared" si="6"/>
        <v>13.79663665036797</v>
      </c>
      <c r="G6" s="68"/>
      <c r="H6" s="68">
        <f t="shared" ref="H6:I6" si="7">H64</f>
        <v>12.546613384506692</v>
      </c>
      <c r="I6" s="68">
        <f t="shared" si="7"/>
        <v>15.523141716335569</v>
      </c>
      <c r="J6" s="42">
        <f t="shared" si="2"/>
        <v>-2.9765283318288773</v>
      </c>
      <c r="K6" s="4">
        <f t="shared" si="3"/>
        <v>-0.23723759078322063</v>
      </c>
    </row>
    <row r="7" spans="1:11" x14ac:dyDescent="0.35">
      <c r="A7" s="67">
        <v>2019</v>
      </c>
      <c r="B7" s="68">
        <f>B83</f>
        <v>15.355371177033931</v>
      </c>
      <c r="C7" s="68">
        <f t="shared" ref="C7:F7" si="8">C83</f>
        <v>15.615763602589761</v>
      </c>
      <c r="D7" s="68">
        <f t="shared" si="8"/>
        <v>16.17041813440138</v>
      </c>
      <c r="E7" s="68">
        <f t="shared" si="8"/>
        <v>12.71563623207561</v>
      </c>
      <c r="F7" s="69">
        <f t="shared" si="8"/>
        <v>14.791660892375319</v>
      </c>
      <c r="G7" s="68"/>
      <c r="H7" s="68">
        <f>H83</f>
        <v>13.861430772031385</v>
      </c>
      <c r="I7" s="68">
        <f t="shared" ref="I7" si="9">I83</f>
        <v>15.882143715643874</v>
      </c>
      <c r="J7" s="42">
        <f t="shared" si="2"/>
        <v>-2.0207129436124891</v>
      </c>
      <c r="K7" s="4">
        <f t="shared" si="3"/>
        <v>-0.14577953581023834</v>
      </c>
    </row>
    <row r="8" spans="1:11" ht="15" thickBot="1" x14ac:dyDescent="0.4">
      <c r="A8" s="71" t="s">
        <v>142</v>
      </c>
      <c r="B8" s="72">
        <f>AVERAGE(B4:B7)</f>
        <v>13.202281388963288</v>
      </c>
      <c r="C8" s="72">
        <f>AVERAGE(C4:C7)</f>
        <v>14.471372846823668</v>
      </c>
      <c r="D8" s="72">
        <f>AVERAGE(D4:D7)</f>
        <v>15.016880414877502</v>
      </c>
      <c r="E8" s="72">
        <f>AVERAGE(E4:E7)</f>
        <v>11.41506757893595</v>
      </c>
      <c r="F8" s="70">
        <f>AVERAGE(F4:F7)</f>
        <v>13.326709377375934</v>
      </c>
      <c r="G8" s="68"/>
      <c r="H8" s="72">
        <f>AVERAGE(H4:H7)</f>
        <v>12.206330003354605</v>
      </c>
      <c r="I8" s="72">
        <f>AVERAGE(I4:I7)</f>
        <v>14.74044791263087</v>
      </c>
      <c r="J8" s="64">
        <f>H8-I8</f>
        <v>-2.5341179092762651</v>
      </c>
      <c r="K8" s="65">
        <f t="shared" ref="K8" si="10">J8/H8</f>
        <v>-0.2076068653378883</v>
      </c>
    </row>
    <row r="9" spans="1:11" ht="15" thickBot="1" x14ac:dyDescent="0.4"/>
    <row r="10" spans="1:11" ht="15" thickBot="1" x14ac:dyDescent="0.4">
      <c r="B10" s="61" t="s">
        <v>143</v>
      </c>
      <c r="C10" s="62" t="s">
        <v>144</v>
      </c>
      <c r="D10" s="62" t="s">
        <v>144</v>
      </c>
      <c r="E10" s="62" t="s">
        <v>144</v>
      </c>
      <c r="F10" s="63" t="s">
        <v>145</v>
      </c>
      <c r="H10" s="126" t="s">
        <v>146</v>
      </c>
      <c r="I10" s="127"/>
      <c r="J10" s="127"/>
      <c r="K10" s="128"/>
    </row>
    <row r="11" spans="1:11" x14ac:dyDescent="0.35">
      <c r="B11" s="11" t="s">
        <v>44</v>
      </c>
      <c r="C11" s="11" t="s">
        <v>46</v>
      </c>
      <c r="D11" s="11" t="s">
        <v>48</v>
      </c>
      <c r="E11" s="11" t="s">
        <v>50</v>
      </c>
      <c r="F11" s="17" t="s">
        <v>136</v>
      </c>
      <c r="H11" s="11" t="s">
        <v>137</v>
      </c>
      <c r="I11" s="11" t="s">
        <v>138</v>
      </c>
      <c r="J11" s="11" t="s">
        <v>139</v>
      </c>
      <c r="K11" s="11" t="s">
        <v>140</v>
      </c>
    </row>
    <row r="12" spans="1:11" x14ac:dyDescent="0.35">
      <c r="A12" s="12" t="s">
        <v>147</v>
      </c>
      <c r="B12" s="21"/>
      <c r="C12" s="21"/>
      <c r="D12" s="21"/>
      <c r="E12" s="21"/>
      <c r="F12" s="21"/>
      <c r="H12" s="13"/>
      <c r="I12" s="13"/>
      <c r="J12" s="13"/>
      <c r="K12" s="13"/>
    </row>
    <row r="13" spans="1:11" x14ac:dyDescent="0.35">
      <c r="A13" t="s">
        <v>148</v>
      </c>
      <c r="B13" s="40">
        <v>2232.8179261299902</v>
      </c>
      <c r="C13" s="40">
        <v>2089.5027499991802</v>
      </c>
      <c r="D13" s="40">
        <v>2089.0247875517898</v>
      </c>
      <c r="E13" s="40">
        <v>2532.3872308372802</v>
      </c>
      <c r="F13" s="45">
        <f>SUM(B13:E13)</f>
        <v>8943.7326945182394</v>
      </c>
      <c r="H13" s="55">
        <f>B13+E13</f>
        <v>4765.2051569672703</v>
      </c>
      <c r="I13" s="55">
        <f>SUM(C13:D13)</f>
        <v>4178.52753755097</v>
      </c>
      <c r="J13" s="55">
        <f>H13-I13</f>
        <v>586.67761941630033</v>
      </c>
      <c r="K13" s="4">
        <f>J13/H13</f>
        <v>0.1231169698031807</v>
      </c>
    </row>
    <row r="14" spans="1:11" x14ac:dyDescent="0.35">
      <c r="A14" t="s">
        <v>149</v>
      </c>
      <c r="B14" s="40">
        <v>300.15570699999898</v>
      </c>
      <c r="C14" s="41">
        <v>206.79037716737199</v>
      </c>
      <c r="D14" s="40">
        <v>170.47726010178101</v>
      </c>
      <c r="E14" s="40">
        <v>300.52053844329799</v>
      </c>
      <c r="F14" s="45">
        <f>SUM(B14:E14)</f>
        <v>977.94388271244998</v>
      </c>
      <c r="H14" s="55">
        <f>B14+E14</f>
        <v>600.67624544329692</v>
      </c>
      <c r="I14" s="55">
        <f>SUM(C14:D14)</f>
        <v>377.267637269153</v>
      </c>
      <c r="J14" s="55">
        <f t="shared" ref="J14" si="11">H14-I14</f>
        <v>223.40860817414392</v>
      </c>
      <c r="K14" s="4">
        <f t="shared" ref="K14" si="12">J14/H14</f>
        <v>0.37192848871403122</v>
      </c>
    </row>
    <row r="15" spans="1:11" x14ac:dyDescent="0.35">
      <c r="A15" t="s">
        <v>150</v>
      </c>
      <c r="B15" s="5">
        <v>0.17782995434751001</v>
      </c>
      <c r="C15" s="5">
        <v>0.14923522171603901</v>
      </c>
      <c r="D15" s="5">
        <v>0.13254414555211499</v>
      </c>
      <c r="E15" s="5">
        <v>0.16177134991396</v>
      </c>
      <c r="F15" s="46">
        <f>(F19-F20-F21-F22)/F19</f>
        <v>0.15602490258215898</v>
      </c>
      <c r="H15" s="4">
        <f>(H19-H20-H21-H22)/H19</f>
        <v>0.16929588215690933</v>
      </c>
      <c r="I15" s="4">
        <f>(I19-I20-I21-I22)/I19</f>
        <v>0.140890638241598</v>
      </c>
      <c r="J15" s="57">
        <f>H15-I15</f>
        <v>2.8405243915311323E-2</v>
      </c>
      <c r="K15" s="4">
        <f>J15/H15</f>
        <v>0.16778461208515605</v>
      </c>
    </row>
    <row r="16" spans="1:11" x14ac:dyDescent="0.35">
      <c r="A16" t="s">
        <v>151</v>
      </c>
      <c r="B16" s="5">
        <v>0.134429101221092</v>
      </c>
      <c r="C16" s="5">
        <v>9.8966310126872598E-2</v>
      </c>
      <c r="D16" s="5">
        <v>8.1606145182015602E-2</v>
      </c>
      <c r="E16" s="5">
        <v>0.118670847326905</v>
      </c>
      <c r="F16" s="46">
        <f>F14/F13</f>
        <v>0.10934404192467065</v>
      </c>
      <c r="H16" s="4">
        <f>H14/H13</f>
        <v>0.1260546452160701</v>
      </c>
      <c r="I16" s="4">
        <f>I14/I13</f>
        <v>9.0287220528949566E-2</v>
      </c>
      <c r="J16" s="57">
        <f t="shared" ref="J16" si="13">H16-I16</f>
        <v>3.5767424687120533E-2</v>
      </c>
      <c r="K16" s="4">
        <f>J16/H16</f>
        <v>0.28374539173714414</v>
      </c>
    </row>
    <row r="17" spans="1:11" x14ac:dyDescent="0.35">
      <c r="A17" s="12" t="s">
        <v>152</v>
      </c>
      <c r="B17" s="43"/>
      <c r="C17" s="43"/>
      <c r="D17" s="43"/>
      <c r="E17" s="43"/>
      <c r="F17" s="43"/>
      <c r="H17" s="13"/>
      <c r="I17" s="13"/>
      <c r="J17" s="59"/>
      <c r="K17" s="60"/>
    </row>
    <row r="18" spans="1:11" x14ac:dyDescent="0.35">
      <c r="A18" t="s">
        <v>153</v>
      </c>
      <c r="B18" s="39">
        <v>784.13021286799994</v>
      </c>
      <c r="C18" s="39">
        <v>740.87386814500303</v>
      </c>
      <c r="D18" s="39">
        <v>739.21884998842495</v>
      </c>
      <c r="E18" s="39">
        <v>1010.62852846072</v>
      </c>
      <c r="F18" s="47">
        <f>SUM(B18:E18)</f>
        <v>3274.8514594621483</v>
      </c>
      <c r="H18" s="56">
        <f>B18+E18</f>
        <v>1794.7587413287199</v>
      </c>
      <c r="I18" s="56">
        <f>C18+D18</f>
        <v>1480.092718133428</v>
      </c>
      <c r="J18" s="39">
        <f t="shared" ref="J18:J19" si="14">H18-I18</f>
        <v>314.66602319529193</v>
      </c>
      <c r="K18" s="4">
        <f t="shared" ref="K18:K25" si="15">J18/H18</f>
        <v>0.17532497039815734</v>
      </c>
    </row>
    <row r="19" spans="1:11" x14ac:dyDescent="0.35">
      <c r="A19" t="s">
        <v>27</v>
      </c>
      <c r="B19" s="42">
        <v>284.75091119921802</v>
      </c>
      <c r="C19" s="42">
        <v>282.03218386293798</v>
      </c>
      <c r="D19" s="42">
        <v>282.59896072516301</v>
      </c>
      <c r="E19" s="42">
        <v>250.575474521221</v>
      </c>
      <c r="F19" s="48">
        <f t="shared" ref="F19:F27" si="16">((B19/100*$B$18)+(C19/100*$C$18)+(D19/100*$D$18)+(E19/100*$E$18))/$F$18*100</f>
        <v>273.10346149217833</v>
      </c>
      <c r="H19" s="42">
        <f>((B19/100*B18)+(E19/100*E18))/(H18)*100</f>
        <v>265.50672506765108</v>
      </c>
      <c r="I19" s="42">
        <f>((C19/100*C18)+(D19/100*D18))/(I18)*100</f>
        <v>282.31525541322736</v>
      </c>
      <c r="J19" s="42">
        <f t="shared" si="14"/>
        <v>-16.808530345576287</v>
      </c>
      <c r="K19" s="4">
        <f t="shared" si="15"/>
        <v>-6.3307361955873151E-2</v>
      </c>
    </row>
    <row r="20" spans="1:11" x14ac:dyDescent="0.35">
      <c r="A20" t="s">
        <v>154</v>
      </c>
      <c r="B20" s="42">
        <v>163.353608212984</v>
      </c>
      <c r="C20" s="42">
        <v>166.643757529222</v>
      </c>
      <c r="D20" s="42">
        <v>170.87562186173199</v>
      </c>
      <c r="E20" s="42">
        <v>152.502123255535</v>
      </c>
      <c r="F20" s="48">
        <f t="shared" si="16"/>
        <v>162.44705706671388</v>
      </c>
      <c r="H20" s="42">
        <f>((B20/100*B18)+(E20/100*E18))/(H18)*100</f>
        <v>157.24313775162204</v>
      </c>
      <c r="I20" s="42">
        <f>((C20/100*C18)+(D20/100*D18))/(I18)*100</f>
        <v>168.75732369089476</v>
      </c>
      <c r="J20" s="42">
        <f>H20-I20</f>
        <v>-11.514185939272721</v>
      </c>
      <c r="K20" s="4">
        <f t="shared" si="15"/>
        <v>-7.3225363624200165E-2</v>
      </c>
    </row>
    <row r="21" spans="1:11" x14ac:dyDescent="0.35">
      <c r="A21" t="s">
        <v>155</v>
      </c>
      <c r="B21" s="42">
        <v>50.947541303221797</v>
      </c>
      <c r="C21" s="42">
        <v>55.6260543687021</v>
      </c>
      <c r="D21" s="42">
        <v>56.560711253268003</v>
      </c>
      <c r="E21" s="42">
        <v>40.709997548528499</v>
      </c>
      <c r="F21" s="48">
        <f t="shared" si="16"/>
        <v>50.113669994428335</v>
      </c>
      <c r="H21" s="42">
        <f>((B21/100*B18)+(E21/100*E18))/(H18)*100</f>
        <v>45.182781092499454</v>
      </c>
      <c r="I21" s="42">
        <f>((C21/100*C18)+(D21/100*D18))/(I18)*100</f>
        <v>56.092860251115937</v>
      </c>
      <c r="J21" s="42">
        <f t="shared" ref="J21:J25" si="17">H21-I21</f>
        <v>-10.910079158616483</v>
      </c>
      <c r="K21" s="4">
        <f t="shared" si="15"/>
        <v>-0.24146541879042513</v>
      </c>
    </row>
    <row r="22" spans="1:11" x14ac:dyDescent="0.35">
      <c r="A22" t="s">
        <v>156</v>
      </c>
      <c r="B22" s="42">
        <v>19.812520144042999</v>
      </c>
      <c r="C22" s="42">
        <v>17.673236475169201</v>
      </c>
      <c r="D22" s="42">
        <v>17.705789826930001</v>
      </c>
      <c r="E22" s="42">
        <v>16.827420948528001</v>
      </c>
      <c r="F22" s="48">
        <f t="shared" si="16"/>
        <v>17.931793456868572</v>
      </c>
      <c r="H22" s="42">
        <f>((B22/100*B18)+(E22/100*E18))/(H18)*100</f>
        <v>18.131610984609601</v>
      </c>
      <c r="I22" s="42">
        <f>((C22/100*C18)+(D22/100*D18))/(I18)*100</f>
        <v>17.689494950707296</v>
      </c>
      <c r="J22" s="42">
        <f t="shared" si="17"/>
        <v>0.44211603390230536</v>
      </c>
      <c r="K22" s="4">
        <f t="shared" si="15"/>
        <v>2.4383714953821835E-2</v>
      </c>
    </row>
    <row r="23" spans="1:11" x14ac:dyDescent="0.35">
      <c r="A23" t="s">
        <v>157</v>
      </c>
      <c r="B23" s="42">
        <v>2.51965496747489</v>
      </c>
      <c r="C23" s="42">
        <v>3.3282692021164499</v>
      </c>
      <c r="D23" s="42">
        <v>3.52240432997707</v>
      </c>
      <c r="E23" s="42">
        <v>2.6985461039316898</v>
      </c>
      <c r="F23" s="48">
        <f t="shared" si="16"/>
        <v>2.9841416445815567</v>
      </c>
      <c r="H23" s="42">
        <f>((B23/100*B18)+(E23/100*E18))/(H18)*100</f>
        <v>2.6203885545742649</v>
      </c>
      <c r="I23" s="42">
        <f>((C23/100*C18)+(D23/100*D18))/(I18)*100</f>
        <v>3.4252282265081542</v>
      </c>
      <c r="J23" s="42">
        <f t="shared" si="17"/>
        <v>-0.80483967193388928</v>
      </c>
      <c r="K23" s="4">
        <f t="shared" si="15"/>
        <v>-0.30714516384561591</v>
      </c>
    </row>
    <row r="24" spans="1:11" x14ac:dyDescent="0.35">
      <c r="A24" t="s">
        <v>158</v>
      </c>
      <c r="B24" s="42">
        <v>4.7300349216672304</v>
      </c>
      <c r="C24" s="42">
        <v>4.7865851210403703</v>
      </c>
      <c r="D24" s="42">
        <v>4.7977345413778796</v>
      </c>
      <c r="E24" s="42">
        <v>3.6222423314084899</v>
      </c>
      <c r="F24" s="48">
        <f t="shared" si="16"/>
        <v>4.4162419426352759</v>
      </c>
      <c r="H24" s="44">
        <f>((B24/100*B18)+(E24/100*E18))/(H18)*100</f>
        <v>4.1062369874089315</v>
      </c>
      <c r="I24" s="44">
        <f>((C24/100*C18)+(D24/100*D18))/(I18)*100</f>
        <v>4.7921535976492722</v>
      </c>
      <c r="J24" s="42">
        <f t="shared" si="17"/>
        <v>-0.68591661024034067</v>
      </c>
      <c r="K24" s="4">
        <f t="shared" si="15"/>
        <v>-0.1670426262155803</v>
      </c>
    </row>
    <row r="25" spans="1:11" x14ac:dyDescent="0.35">
      <c r="A25" t="s">
        <v>159</v>
      </c>
      <c r="B25" s="42">
        <v>5.1087425854286703</v>
      </c>
      <c r="C25" s="42">
        <v>6.0625965927488998</v>
      </c>
      <c r="D25" s="42">
        <v>6.0748870946532501</v>
      </c>
      <c r="E25" s="42">
        <v>4.4791404525140797</v>
      </c>
      <c r="F25" s="48">
        <f t="shared" si="16"/>
        <v>5.3483210437768927</v>
      </c>
      <c r="H25" s="44">
        <f>((B25/100*B18)+(E25/100*E18))/(H18)*100</f>
        <v>4.754213666053059</v>
      </c>
      <c r="I25" s="44">
        <f>((C25/100*C18)+(D25/100*D18))/(I18)*100</f>
        <v>6.0687349721708124</v>
      </c>
      <c r="J25" s="42">
        <f t="shared" si="17"/>
        <v>-1.3145213061177534</v>
      </c>
      <c r="K25" s="4">
        <f t="shared" si="15"/>
        <v>-0.2764960513878349</v>
      </c>
    </row>
    <row r="26" spans="1:11" ht="15" thickBot="1" x14ac:dyDescent="0.4">
      <c r="A26" s="66" t="s">
        <v>160</v>
      </c>
      <c r="B26" s="64">
        <f>SUM(B23:B25)</f>
        <v>12.35843247457079</v>
      </c>
      <c r="C26" s="64">
        <f>SUM(C23:C25)</f>
        <v>14.17745091590572</v>
      </c>
      <c r="D26" s="64">
        <f>SUM(D23:D25)</f>
        <v>14.395025966008198</v>
      </c>
      <c r="E26" s="64">
        <f>SUM(E23:E25)</f>
        <v>10.799928887854261</v>
      </c>
      <c r="F26" s="49">
        <f t="shared" si="16"/>
        <v>12.748704630993727</v>
      </c>
      <c r="H26" s="64">
        <f>((B26/100*B18)+(E26/100*E18))/(H18)*100</f>
        <v>11.480839208036256</v>
      </c>
      <c r="I26" s="64">
        <f>((C26/100*C18)+(D26/100*D18))/(I18)*100</f>
        <v>14.28611679632824</v>
      </c>
      <c r="J26" s="64">
        <f>H26-I26</f>
        <v>-2.8052775882919843</v>
      </c>
      <c r="K26" s="65">
        <f>J26/H26</f>
        <v>-0.24434429726429502</v>
      </c>
    </row>
    <row r="27" spans="1:11" x14ac:dyDescent="0.35">
      <c r="A27" t="s">
        <v>161</v>
      </c>
      <c r="B27" s="42">
        <v>38.278809064397997</v>
      </c>
      <c r="C27" s="42">
        <v>27.9116845739387</v>
      </c>
      <c r="D27" s="42">
        <v>23.061811817224399</v>
      </c>
      <c r="E27" s="42">
        <v>29.736003880774799</v>
      </c>
      <c r="F27" s="48">
        <f t="shared" si="16"/>
        <v>29.862236343173361</v>
      </c>
      <c r="H27" s="42">
        <f>((B27/100*B18)+(E27/100*E18))/(H18)*100</f>
        <v>33.468356030883321</v>
      </c>
      <c r="I27" s="42">
        <f>((C27/100*C18)+(D27/100*D18))/(I18)*100</f>
        <v>25.489459724180776</v>
      </c>
      <c r="J27" s="42">
        <f>H27-I27</f>
        <v>7.9788963067025449</v>
      </c>
      <c r="K27" s="4">
        <f>J27/H27</f>
        <v>0.23840120199928327</v>
      </c>
    </row>
    <row r="28" spans="1:11" ht="15" thickBot="1" x14ac:dyDescent="0.4">
      <c r="B28" s="53"/>
      <c r="C28" s="42"/>
      <c r="D28" s="42"/>
      <c r="E28" s="42"/>
      <c r="F28" s="54"/>
    </row>
    <row r="29" spans="1:11" ht="15" thickBot="1" x14ac:dyDescent="0.4">
      <c r="B29" s="129" t="s">
        <v>162</v>
      </c>
      <c r="C29" s="130"/>
      <c r="D29" s="130"/>
      <c r="E29" s="130"/>
      <c r="F29" s="131"/>
      <c r="H29" s="126" t="s">
        <v>146</v>
      </c>
      <c r="I29" s="127"/>
      <c r="J29" s="127"/>
      <c r="K29" s="128"/>
    </row>
    <row r="30" spans="1:11" x14ac:dyDescent="0.35">
      <c r="B30" s="11" t="s">
        <v>38</v>
      </c>
      <c r="C30" s="11" t="s">
        <v>40</v>
      </c>
      <c r="D30" s="11" t="s">
        <v>42</v>
      </c>
      <c r="E30" s="11" t="s">
        <v>68</v>
      </c>
      <c r="F30" s="17" t="s">
        <v>163</v>
      </c>
      <c r="H30" s="11" t="s">
        <v>137</v>
      </c>
      <c r="I30" s="11" t="s">
        <v>138</v>
      </c>
      <c r="J30" s="11" t="s">
        <v>139</v>
      </c>
      <c r="K30" s="11" t="s">
        <v>140</v>
      </c>
    </row>
    <row r="31" spans="1:11" x14ac:dyDescent="0.35">
      <c r="A31" s="12" t="s">
        <v>147</v>
      </c>
      <c r="B31" s="21"/>
      <c r="C31" s="21"/>
      <c r="D31" s="21"/>
      <c r="E31" s="21"/>
      <c r="F31" s="21"/>
      <c r="H31" s="13"/>
      <c r="I31" s="13"/>
      <c r="J31" s="13"/>
      <c r="K31" s="13"/>
    </row>
    <row r="32" spans="1:11" x14ac:dyDescent="0.35">
      <c r="A32" t="s">
        <v>148</v>
      </c>
      <c r="B32" s="40">
        <v>1916.5269137400001</v>
      </c>
      <c r="C32" s="40">
        <v>1956.5454937899999</v>
      </c>
      <c r="D32" s="40">
        <v>2077.0784811999902</v>
      </c>
      <c r="E32" s="40">
        <v>2564.4528298800001</v>
      </c>
      <c r="F32" s="45">
        <v>8514.6037186099893</v>
      </c>
      <c r="H32" s="55">
        <f>B32+E32</f>
        <v>4480.9797436200006</v>
      </c>
      <c r="I32" s="55">
        <f>SUM(C32:D32)</f>
        <v>4033.6239749899901</v>
      </c>
      <c r="J32" s="55">
        <f>H32-I32</f>
        <v>447.35576863001052</v>
      </c>
      <c r="K32" s="4">
        <f>J32/H32</f>
        <v>9.9834365300792469E-2</v>
      </c>
    </row>
    <row r="33" spans="1:11" x14ac:dyDescent="0.35">
      <c r="A33" t="s">
        <v>149</v>
      </c>
      <c r="B33" s="40">
        <v>191.961063429999</v>
      </c>
      <c r="C33" s="40">
        <v>163.548626149999</v>
      </c>
      <c r="D33" s="40">
        <v>164.59375560999999</v>
      </c>
      <c r="E33" s="40">
        <v>358.41768970999999</v>
      </c>
      <c r="F33" s="45">
        <v>878.52113489999999</v>
      </c>
      <c r="H33" s="55">
        <f>B33+E33</f>
        <v>550.37875313999893</v>
      </c>
      <c r="I33" s="55">
        <f>SUM(C33:D33)</f>
        <v>328.14238175999901</v>
      </c>
      <c r="J33" s="55">
        <f t="shared" ref="J33:J44" si="18">H33-I33</f>
        <v>222.23637137999992</v>
      </c>
      <c r="K33" s="4">
        <f>J33/H33</f>
        <v>0.4037880643322545</v>
      </c>
    </row>
    <row r="34" spans="1:11" x14ac:dyDescent="0.35">
      <c r="A34" t="s">
        <v>150</v>
      </c>
      <c r="B34" s="5">
        <v>0.148656139659435</v>
      </c>
      <c r="C34" s="5">
        <v>0.12901724362719699</v>
      </c>
      <c r="D34" s="5">
        <v>0.12571404885439999</v>
      </c>
      <c r="E34" s="5">
        <v>0.178506538933461</v>
      </c>
      <c r="F34" s="46">
        <v>0.14753724134269799</v>
      </c>
      <c r="H34" s="4">
        <f>(H38-H39-H40-H41)/H38</f>
        <v>0.16573944404176894</v>
      </c>
      <c r="I34" s="4">
        <f>(I38-I39-I40-I41)/I38</f>
        <v>0.12731629311115394</v>
      </c>
      <c r="J34" s="57">
        <f>H34-I34</f>
        <v>3.8423150930614991E-2</v>
      </c>
      <c r="K34" s="4">
        <f t="shared" ref="K34:K44" si="19">J34/H34</f>
        <v>0.2318286461787078</v>
      </c>
    </row>
    <row r="35" spans="1:11" x14ac:dyDescent="0.35">
      <c r="A35" t="s">
        <v>151</v>
      </c>
      <c r="B35" s="5">
        <v>0.100160901500411</v>
      </c>
      <c r="C35" s="5">
        <v>8.35905051372927E-2</v>
      </c>
      <c r="D35" s="5">
        <v>7.9242915999451505E-2</v>
      </c>
      <c r="E35" s="5">
        <v>0.13976380674031399</v>
      </c>
      <c r="F35" s="46">
        <v>0.10317815883549</v>
      </c>
      <c r="H35" s="4">
        <f>H33/H32</f>
        <v>0.12282553919678521</v>
      </c>
      <c r="I35" s="4">
        <f>I33/I32</f>
        <v>8.1351753111992386E-2</v>
      </c>
      <c r="J35" s="57">
        <f t="shared" si="18"/>
        <v>4.1473786084792824E-2</v>
      </c>
      <c r="K35" s="4">
        <f t="shared" si="19"/>
        <v>0.33766418902786582</v>
      </c>
    </row>
    <row r="36" spans="1:11" x14ac:dyDescent="0.35">
      <c r="A36" s="12" t="s">
        <v>152</v>
      </c>
      <c r="B36" s="43"/>
      <c r="C36" s="43"/>
      <c r="D36" s="43"/>
      <c r="E36" s="43"/>
      <c r="F36" s="43"/>
      <c r="H36" s="13"/>
      <c r="I36" s="13"/>
      <c r="J36" s="59"/>
      <c r="K36" s="60"/>
    </row>
    <row r="37" spans="1:11" x14ac:dyDescent="0.35">
      <c r="A37" t="s">
        <v>153</v>
      </c>
      <c r="B37" s="39">
        <v>812.40300138199996</v>
      </c>
      <c r="C37" s="39">
        <v>700.97386437399996</v>
      </c>
      <c r="D37" s="39">
        <v>696.14919389600004</v>
      </c>
      <c r="E37" s="39">
        <v>945.90589304499997</v>
      </c>
      <c r="F37" s="47">
        <v>3155.4319526969898</v>
      </c>
      <c r="H37" s="56">
        <f>B37+E37</f>
        <v>1758.3088944269998</v>
      </c>
      <c r="I37" s="56">
        <f>C37+D37</f>
        <v>1397.12305827</v>
      </c>
      <c r="J37" s="39">
        <f t="shared" si="18"/>
        <v>361.18583615699981</v>
      </c>
      <c r="K37" s="4">
        <f t="shared" si="19"/>
        <v>0.20541660074733545</v>
      </c>
    </row>
    <row r="38" spans="1:11" x14ac:dyDescent="0.35">
      <c r="A38" t="s">
        <v>27</v>
      </c>
      <c r="B38" s="42">
        <v>235.90839896944499</v>
      </c>
      <c r="C38" s="42">
        <v>279.11818018169299</v>
      </c>
      <c r="D38" s="42">
        <v>298.36685862920001</v>
      </c>
      <c r="E38" s="42">
        <v>271.11077843321999</v>
      </c>
      <c r="F38" s="48">
        <v>269.83956067670601</v>
      </c>
      <c r="H38" s="42">
        <f>((B38/100*B37)+(E38/100*E37))/(H37)*100</f>
        <v>254.84599195411923</v>
      </c>
      <c r="I38" s="42">
        <f>((C38/100*C37)+(D38/100*D37))/(I37)*100</f>
        <v>288.70928377523609</v>
      </c>
      <c r="J38" s="42">
        <f>H38-I38</f>
        <v>-33.86329182111686</v>
      </c>
      <c r="K38" s="4">
        <f t="shared" si="19"/>
        <v>-0.13287747459341398</v>
      </c>
    </row>
    <row r="39" spans="1:11" x14ac:dyDescent="0.35">
      <c r="A39" t="s">
        <v>154</v>
      </c>
      <c r="B39" s="42">
        <v>136.72446009319501</v>
      </c>
      <c r="C39" s="42">
        <v>180.91525504514601</v>
      </c>
      <c r="D39" s="42">
        <v>190.30017906160299</v>
      </c>
      <c r="E39" s="42">
        <v>151.985580812065</v>
      </c>
      <c r="F39" s="48">
        <v>162.93604416213401</v>
      </c>
      <c r="H39" s="42">
        <f>((B39/100*B37)+(E39/100*E37))/(H37)*100</f>
        <v>144.93438502060917</v>
      </c>
      <c r="I39" s="42">
        <f>((C39/100*C37)+(D39/100*D37))/(I37)*100</f>
        <v>185.5915126232878</v>
      </c>
      <c r="J39" s="42">
        <f t="shared" si="18"/>
        <v>-40.657127602678628</v>
      </c>
      <c r="K39" s="4">
        <f t="shared" si="19"/>
        <v>-0.28052092398154743</v>
      </c>
    </row>
    <row r="40" spans="1:11" x14ac:dyDescent="0.35">
      <c r="A40" t="s">
        <v>155</v>
      </c>
      <c r="B40" s="42">
        <v>47.118222671306199</v>
      </c>
      <c r="C40" s="42">
        <v>44.674819304086597</v>
      </c>
      <c r="D40" s="42">
        <v>51.025583369858197</v>
      </c>
      <c r="E40" s="42">
        <v>51.726472620328899</v>
      </c>
      <c r="F40" s="48">
        <v>48.8188820307425</v>
      </c>
      <c r="H40" s="42">
        <f>((B40/100*B37)+(E40/100*E37))/(H37)*100</f>
        <v>49.597292644290327</v>
      </c>
      <c r="I40" s="42">
        <f>((C40/100*C37)+(D40/100*D37))/(I37)*100</f>
        <v>47.839235823333667</v>
      </c>
      <c r="J40" s="42">
        <f t="shared" si="18"/>
        <v>1.7580568209566607</v>
      </c>
      <c r="K40" s="4">
        <f t="shared" si="19"/>
        <v>3.5446628782046019E-2</v>
      </c>
    </row>
    <row r="41" spans="1:11" x14ac:dyDescent="0.35">
      <c r="A41" t="s">
        <v>156</v>
      </c>
      <c r="B41" s="42">
        <v>16.9964843009083</v>
      </c>
      <c r="C41" s="42">
        <v>17.517047579178499</v>
      </c>
      <c r="D41" s="42">
        <v>19.532190355493402</v>
      </c>
      <c r="E41" s="42">
        <v>19.003678275154599</v>
      </c>
      <c r="F41" s="48">
        <v>18.273250096462</v>
      </c>
      <c r="H41" s="42">
        <f>((B41/100*B37)+(E41/100*E37))/(H37)*100</f>
        <v>18.076281266470893</v>
      </c>
      <c r="I41" s="42">
        <f>((C41/100*C37)+(D41/100*D37))/(I37)*100</f>
        <v>18.52113953157534</v>
      </c>
      <c r="J41" s="42">
        <f t="shared" si="18"/>
        <v>-0.44485826510444682</v>
      </c>
      <c r="K41" s="4">
        <f t="shared" si="19"/>
        <v>-2.4610054388210918E-2</v>
      </c>
    </row>
    <row r="42" spans="1:11" x14ac:dyDescent="0.35">
      <c r="A42" t="s">
        <v>157</v>
      </c>
      <c r="B42" s="42">
        <v>2.4901374681760502</v>
      </c>
      <c r="C42" s="42">
        <v>3.28485380272532</v>
      </c>
      <c r="D42" s="42">
        <v>4.0231465978231196</v>
      </c>
      <c r="E42" s="42">
        <v>3.2046660384383299</v>
      </c>
      <c r="F42" s="48">
        <v>3.2190884548526202</v>
      </c>
      <c r="H42" s="42">
        <f>((B42/100*B37)+(E42/100*E37))/(H37)*100</f>
        <v>2.8745277124057846</v>
      </c>
      <c r="I42" s="42">
        <f>((C42/100*C37)+(D42/100*D37))/(I37)*100</f>
        <v>3.6527254308716457</v>
      </c>
      <c r="J42" s="42">
        <f t="shared" si="18"/>
        <v>-0.77819771846586105</v>
      </c>
      <c r="K42" s="4">
        <f t="shared" si="19"/>
        <v>-0.27072193985375159</v>
      </c>
    </row>
    <row r="43" spans="1:11" x14ac:dyDescent="0.35">
      <c r="A43" t="s">
        <v>158</v>
      </c>
      <c r="B43" s="42">
        <v>4.4586488034117799</v>
      </c>
      <c r="C43" s="44">
        <v>4.7214010895478902</v>
      </c>
      <c r="D43" s="44">
        <v>4.7576866726858498</v>
      </c>
      <c r="E43" s="42">
        <v>2.6844745398781402</v>
      </c>
      <c r="F43" s="48">
        <v>4.0511469293685902</v>
      </c>
      <c r="H43" s="44">
        <f>((B43/100*B37)+(E43/100*E37))/(H37)*100</f>
        <v>3.5042079219009481</v>
      </c>
      <c r="I43" s="44">
        <f>((C43/100*C37)+(D43/100*D37))/(I37)*100</f>
        <v>4.7394812288040669</v>
      </c>
      <c r="J43" s="42">
        <f t="shared" si="18"/>
        <v>-1.2352733069031188</v>
      </c>
      <c r="K43" s="4">
        <f t="shared" si="19"/>
        <v>-0.3525114189665472</v>
      </c>
    </row>
    <row r="44" spans="1:11" x14ac:dyDescent="0.35">
      <c r="A44" t="s">
        <v>159</v>
      </c>
      <c r="B44" s="42">
        <v>4.4916477201494098</v>
      </c>
      <c r="C44" s="44">
        <v>4.6731736866186901</v>
      </c>
      <c r="D44" s="44">
        <v>5.0846126563622702</v>
      </c>
      <c r="E44" s="42">
        <v>4.6144317051974904</v>
      </c>
      <c r="F44" s="48">
        <v>4.69959995154551</v>
      </c>
      <c r="H44" s="44">
        <f>((B44/100*B37)+(E44/100*E37))/(H37)*100</f>
        <v>4.5577010145373551</v>
      </c>
      <c r="I44" s="44">
        <f>((C44/100*C37)+(D44/100*D37))/(I37)*100</f>
        <v>4.8781827625400762</v>
      </c>
      <c r="J44" s="42">
        <f t="shared" si="18"/>
        <v>-0.32048174800272111</v>
      </c>
      <c r="K44" s="4">
        <f t="shared" si="19"/>
        <v>-7.0316536117771805E-2</v>
      </c>
    </row>
    <row r="45" spans="1:11" ht="15" thickBot="1" x14ac:dyDescent="0.4">
      <c r="A45" s="66" t="s">
        <v>160</v>
      </c>
      <c r="B45" s="64">
        <f>SUM(B42:B44)</f>
        <v>11.44043399173724</v>
      </c>
      <c r="C45" s="64">
        <f>SUM(C42:C44)</f>
        <v>12.679428578891901</v>
      </c>
      <c r="D45" s="64">
        <f>SUM(D42:D44)</f>
        <v>13.865445926871239</v>
      </c>
      <c r="E45" s="64">
        <f>SUM(E42:E44)</f>
        <v>10.503572283513961</v>
      </c>
      <c r="F45" s="49">
        <f>SUM(F42:F44)</f>
        <v>11.969835335766721</v>
      </c>
      <c r="H45" s="64">
        <f>((B45/100*B37)+(E45/100*E37))/(H37)*100</f>
        <v>10.936436648844088</v>
      </c>
      <c r="I45" s="64">
        <f>((C45/100*C37)+(D45/100*D37))/(I37)*100</f>
        <v>13.270389422215789</v>
      </c>
      <c r="J45" s="64">
        <f>H45-I45</f>
        <v>-2.3339527733717009</v>
      </c>
      <c r="K45" s="65">
        <f>J45/H45</f>
        <v>-0.21341071578541854</v>
      </c>
    </row>
    <row r="46" spans="1:11" x14ac:dyDescent="0.35">
      <c r="A46" t="s">
        <v>161</v>
      </c>
      <c r="B46" s="53">
        <v>23.628797912298399</v>
      </c>
      <c r="C46" s="42">
        <v>23.3316296743896</v>
      </c>
      <c r="D46" s="42">
        <v>23.643459915373999</v>
      </c>
      <c r="E46" s="42">
        <v>37.8914744421566</v>
      </c>
      <c r="F46" s="48">
        <v>27.841549051600101</v>
      </c>
      <c r="H46" s="42">
        <f>((B46/100*B37)+(E46/100*E37))/(H37)*100</f>
        <v>31.301596373904317</v>
      </c>
      <c r="I46" s="42">
        <f>((C46/100*C37)+(D46/100*D37))/(I37)*100</f>
        <v>23.487006374823196</v>
      </c>
      <c r="J46" s="42">
        <f>H46-I46</f>
        <v>7.8145899990811216</v>
      </c>
      <c r="K46" s="4">
        <f>J46/H46</f>
        <v>0.24965467913310743</v>
      </c>
    </row>
    <row r="47" spans="1:11" ht="15" thickBot="1" x14ac:dyDescent="0.4"/>
    <row r="48" spans="1:11" ht="15" thickBot="1" x14ac:dyDescent="0.4">
      <c r="B48" s="129" t="s">
        <v>164</v>
      </c>
      <c r="C48" s="130"/>
      <c r="D48" s="130"/>
      <c r="E48" s="130"/>
      <c r="F48" s="131"/>
      <c r="H48" s="126" t="s">
        <v>146</v>
      </c>
      <c r="I48" s="127"/>
      <c r="J48" s="127"/>
      <c r="K48" s="128"/>
    </row>
    <row r="49" spans="1:11" x14ac:dyDescent="0.35">
      <c r="B49" s="11" t="s">
        <v>165</v>
      </c>
      <c r="C49" s="11" t="s">
        <v>166</v>
      </c>
      <c r="D49" s="11" t="s">
        <v>66</v>
      </c>
      <c r="E49" s="11" t="s">
        <v>67</v>
      </c>
      <c r="F49" s="17" t="s">
        <v>167</v>
      </c>
      <c r="H49" s="11" t="s">
        <v>137</v>
      </c>
      <c r="I49" s="11" t="s">
        <v>138</v>
      </c>
      <c r="J49" s="11" t="s">
        <v>139</v>
      </c>
      <c r="K49" s="11" t="s">
        <v>140</v>
      </c>
    </row>
    <row r="50" spans="1:11" x14ac:dyDescent="0.35">
      <c r="A50" s="12" t="s">
        <v>147</v>
      </c>
      <c r="B50" s="12"/>
      <c r="C50" s="12"/>
      <c r="D50" s="12"/>
      <c r="E50" s="12"/>
      <c r="F50" s="12"/>
      <c r="H50" s="13"/>
      <c r="I50" s="13"/>
      <c r="J50" s="13"/>
      <c r="K50" s="13"/>
    </row>
    <row r="51" spans="1:11" x14ac:dyDescent="0.35">
      <c r="A51" t="s">
        <v>148</v>
      </c>
      <c r="B51" s="40">
        <v>1859.6433752800001</v>
      </c>
      <c r="C51" s="40">
        <v>1549.1127655599901</v>
      </c>
      <c r="D51" s="40">
        <v>1579.7917763799901</v>
      </c>
      <c r="E51" s="40">
        <v>2171.6738487299999</v>
      </c>
      <c r="F51" s="45">
        <v>7160.2217659499902</v>
      </c>
      <c r="H51" s="55">
        <f>B51+E51</f>
        <v>4031.3172240100002</v>
      </c>
      <c r="I51" s="55">
        <f>SUM(C51:D51)</f>
        <v>3128.9045419399799</v>
      </c>
      <c r="J51" s="55">
        <f>H51-I51</f>
        <v>902.41268207002031</v>
      </c>
      <c r="K51" s="4">
        <f>J51/H51</f>
        <v>0.22385057586025925</v>
      </c>
    </row>
    <row r="52" spans="1:11" x14ac:dyDescent="0.35">
      <c r="A52" t="s">
        <v>149</v>
      </c>
      <c r="B52" s="40">
        <v>153.50628985999899</v>
      </c>
      <c r="C52" s="40">
        <v>86.780680386</v>
      </c>
      <c r="D52" s="40">
        <v>152.19733223399899</v>
      </c>
      <c r="E52" s="40">
        <v>175.828309926</v>
      </c>
      <c r="F52" s="45">
        <v>568.31261240599997</v>
      </c>
      <c r="H52" s="55">
        <f>B52+E52</f>
        <v>329.33459978599899</v>
      </c>
      <c r="I52" s="55">
        <f>SUM(C52:D52)</f>
        <v>238.97801261999899</v>
      </c>
      <c r="J52" s="55">
        <f t="shared" ref="J52" si="20">H52-I52</f>
        <v>90.356587165999997</v>
      </c>
      <c r="K52" s="4">
        <f t="shared" ref="K52:K54" si="21">J52/H52</f>
        <v>0.27436105172281788</v>
      </c>
    </row>
    <row r="53" spans="1:11" x14ac:dyDescent="0.35">
      <c r="A53" t="s">
        <v>150</v>
      </c>
      <c r="B53" s="5">
        <v>0.14118610665900799</v>
      </c>
      <c r="C53" s="5">
        <v>0.120904373822194</v>
      </c>
      <c r="D53" s="5">
        <v>0.159070603611974</v>
      </c>
      <c r="E53" s="5">
        <v>0.13336118887252199</v>
      </c>
      <c r="F53" s="46">
        <v>0.138370819644375</v>
      </c>
      <c r="H53" s="4">
        <f>(H57-H58-H59-H60)/H57</f>
        <v>0.13697081711935977</v>
      </c>
      <c r="I53" s="4">
        <f>(I57-I58-I59-I60)/I57</f>
        <v>0.14017459927942164</v>
      </c>
      <c r="J53" s="57">
        <f>H53-I53</f>
        <v>-3.2037821600618688E-3</v>
      </c>
      <c r="K53" s="4">
        <f t="shared" si="21"/>
        <v>-2.3390253686447773E-2</v>
      </c>
    </row>
    <row r="54" spans="1:11" x14ac:dyDescent="0.35">
      <c r="A54" t="s">
        <v>151</v>
      </c>
      <c r="B54" s="5">
        <v>8.25460902345789E-2</v>
      </c>
      <c r="C54" s="5">
        <v>5.6019601874902299E-2</v>
      </c>
      <c r="D54" s="5">
        <v>9.6340121849951096E-2</v>
      </c>
      <c r="E54" s="5">
        <v>8.0964418312089101E-2</v>
      </c>
      <c r="F54" s="46">
        <v>7.9370811545052405E-2</v>
      </c>
      <c r="H54" s="4">
        <f>H52/H51</f>
        <v>8.1694042290823707E-2</v>
      </c>
      <c r="I54" s="4">
        <f>I52/I51</f>
        <v>7.6377533867437231E-2</v>
      </c>
      <c r="J54" s="57">
        <f t="shared" ref="J54" si="22">H54-I54</f>
        <v>5.3165084233864762E-3</v>
      </c>
      <c r="K54" s="4">
        <f t="shared" si="21"/>
        <v>6.5078288138321852E-2</v>
      </c>
    </row>
    <row r="55" spans="1:11" x14ac:dyDescent="0.35">
      <c r="A55" s="12" t="s">
        <v>152</v>
      </c>
      <c r="B55" s="43"/>
      <c r="C55" s="43"/>
      <c r="D55" s="43"/>
      <c r="E55" s="43"/>
      <c r="F55" s="43"/>
      <c r="H55" s="13"/>
      <c r="I55" s="13"/>
      <c r="J55" s="59"/>
      <c r="K55" s="60"/>
    </row>
    <row r="56" spans="1:11" x14ac:dyDescent="0.35">
      <c r="A56" t="s">
        <v>153</v>
      </c>
      <c r="B56" s="39">
        <v>798.61159438799996</v>
      </c>
      <c r="C56" s="39">
        <v>652.14311218399996</v>
      </c>
      <c r="D56" s="39">
        <v>633.77523719199996</v>
      </c>
      <c r="E56" s="39">
        <v>977.47098363399903</v>
      </c>
      <c r="F56" s="47">
        <v>3062.0009273979999</v>
      </c>
      <c r="H56" s="56">
        <f>B56+E56</f>
        <v>1776.0825780219989</v>
      </c>
      <c r="I56" s="56">
        <f>C56+D56</f>
        <v>1285.9183493759999</v>
      </c>
      <c r="J56" s="39">
        <f t="shared" ref="J56:J63" si="23">H56-I56</f>
        <v>490.16422864599895</v>
      </c>
      <c r="K56" s="4">
        <f t="shared" ref="K56:K63" si="24">J56/H56</f>
        <v>0.27598053981920634</v>
      </c>
    </row>
    <row r="57" spans="1:11" x14ac:dyDescent="0.35">
      <c r="A57" t="s">
        <v>27</v>
      </c>
      <c r="B57" s="42">
        <v>232.859551294781</v>
      </c>
      <c r="C57" s="42">
        <v>237.541842675005</v>
      </c>
      <c r="D57" s="42">
        <v>249.26688259065</v>
      </c>
      <c r="E57" s="42">
        <v>222.17271766536101</v>
      </c>
      <c r="F57" s="48">
        <v>233.84126705783001</v>
      </c>
      <c r="H57" s="42">
        <f>((B57/100*B56)+(E57/100*E56))/(H56)*100</f>
        <v>226.97802871866534</v>
      </c>
      <c r="I57" s="42">
        <f>((C57/100*C56)+(D57/100*D56))/(I56)*100</f>
        <v>243.32062323072967</v>
      </c>
      <c r="J57" s="42">
        <f t="shared" si="23"/>
        <v>-16.342594512064323</v>
      </c>
      <c r="K57" s="4">
        <f t="shared" si="24"/>
        <v>-7.2000777362995941E-2</v>
      </c>
    </row>
    <row r="58" spans="1:11" x14ac:dyDescent="0.35">
      <c r="A58" t="s">
        <v>154</v>
      </c>
      <c r="B58" s="42">
        <v>132.24201563706501</v>
      </c>
      <c r="C58" s="42">
        <v>119.515002311196</v>
      </c>
      <c r="D58" s="42">
        <v>129.817569440749</v>
      </c>
      <c r="E58" s="42">
        <v>122.999137538611</v>
      </c>
      <c r="F58" s="48">
        <v>126.079041282642</v>
      </c>
      <c r="H58" s="42">
        <f>((B58/100*B56)+(E58/100*E56))/(H56)*100</f>
        <v>127.15517718805171</v>
      </c>
      <c r="I58" s="42">
        <f>((C58/100*C56)+(D58/100*D56))/(I56)*100</f>
        <v>124.59270567345648</v>
      </c>
      <c r="J58" s="42">
        <f>H58-I58</f>
        <v>2.5624715145952308</v>
      </c>
      <c r="K58" s="4">
        <f t="shared" si="24"/>
        <v>2.0152317595417708E-2</v>
      </c>
    </row>
    <row r="59" spans="1:11" x14ac:dyDescent="0.35">
      <c r="A59" t="s">
        <v>155</v>
      </c>
      <c r="B59" s="42">
        <v>47.941272434618298</v>
      </c>
      <c r="C59" s="42">
        <v>70.532961481498305</v>
      </c>
      <c r="D59" s="42">
        <v>60.383511084397803</v>
      </c>
      <c r="E59" s="42">
        <v>53.197145324643301</v>
      </c>
      <c r="F59" s="48">
        <v>57.0059530332761</v>
      </c>
      <c r="H59" s="42">
        <f>((B59/100*B56)+(E59/100*E56))/(H56)*100</f>
        <v>50.833853729678104</v>
      </c>
      <c r="I59" s="42">
        <f>((C59/100*C56)+(D59/100*D56))/(I56)*100</f>
        <v>65.530722936638739</v>
      </c>
      <c r="J59" s="42">
        <f t="shared" si="23"/>
        <v>-14.696869206960635</v>
      </c>
      <c r="K59" s="4">
        <f t="shared" si="24"/>
        <v>-0.2891157787311377</v>
      </c>
    </row>
    <row r="60" spans="1:11" x14ac:dyDescent="0.35">
      <c r="A60" t="s">
        <v>156</v>
      </c>
      <c r="B60" s="42">
        <v>19.799729777423799</v>
      </c>
      <c r="C60" s="42">
        <v>18.774031137118801</v>
      </c>
      <c r="D60" s="42">
        <v>19.4147685913332</v>
      </c>
      <c r="E60" s="42">
        <v>16.347217039215</v>
      </c>
      <c r="F60" s="48">
        <v>18.3994649524405</v>
      </c>
      <c r="H60" s="42">
        <f>((B60/100*B56)+(E60/100*E56))/(H56)*100</f>
        <v>17.899631739198426</v>
      </c>
      <c r="I60" s="42">
        <f>((C60/100*C56)+(D60/100*D56))/(I56)*100</f>
        <v>19.089823762847786</v>
      </c>
      <c r="J60" s="42">
        <f t="shared" si="23"/>
        <v>-1.1901920236493595</v>
      </c>
      <c r="K60" s="4">
        <f t="shared" si="24"/>
        <v>-6.6492542471863064E-2</v>
      </c>
    </row>
    <row r="61" spans="1:11" x14ac:dyDescent="0.35">
      <c r="A61" t="s">
        <v>157</v>
      </c>
      <c r="B61" s="42">
        <v>2.3371483723953799</v>
      </c>
      <c r="C61" s="42">
        <v>2.6800981569009599</v>
      </c>
      <c r="D61" s="42">
        <v>3.0756496997838201</v>
      </c>
      <c r="E61" s="42">
        <v>2.4973991830677602</v>
      </c>
      <c r="F61" s="48">
        <v>2.6142014273660399</v>
      </c>
      <c r="H61" s="42">
        <f>((B61/100*B56)+(E61/100*E56))/(H56)*100</f>
        <v>2.4253427612568061</v>
      </c>
      <c r="I61" s="42">
        <f>((C61/100*C56)+(D61/100*D56))/(I56)*100</f>
        <v>2.8750489273242108</v>
      </c>
      <c r="J61" s="42">
        <f t="shared" si="23"/>
        <v>-0.44970616606740466</v>
      </c>
      <c r="K61" s="4">
        <f t="shared" si="24"/>
        <v>-0.18541963356732644</v>
      </c>
    </row>
    <row r="62" spans="1:11" x14ac:dyDescent="0.35">
      <c r="A62" t="s">
        <v>158</v>
      </c>
      <c r="B62" s="42">
        <v>5.6255171469715703</v>
      </c>
      <c r="C62" s="44">
        <v>6.2192323268081298</v>
      </c>
      <c r="D62" s="44">
        <v>6.2355419825321601</v>
      </c>
      <c r="E62" s="42">
        <v>4.2589645991566103</v>
      </c>
      <c r="F62" s="48">
        <v>5.44199023876849</v>
      </c>
      <c r="H62" s="44">
        <f>((B62/100*B56)+(E62/100*E56))/(H56)*100</f>
        <v>4.8734319232158931</v>
      </c>
      <c r="I62" s="44">
        <f>((C62/100*C56)+(D62/100*D56))/(I56)*100</f>
        <v>6.2272706722676476</v>
      </c>
      <c r="J62" s="42">
        <f t="shared" si="23"/>
        <v>-1.3538387490517545</v>
      </c>
      <c r="K62" s="4">
        <f t="shared" si="24"/>
        <v>-0.27779986883624708</v>
      </c>
    </row>
    <row r="63" spans="1:11" x14ac:dyDescent="0.35">
      <c r="A63" t="s">
        <v>159</v>
      </c>
      <c r="B63" s="42">
        <v>5.6922223931442399</v>
      </c>
      <c r="C63" s="44">
        <v>6.5135178061982</v>
      </c>
      <c r="D63" s="44">
        <v>6.3254399499132097</v>
      </c>
      <c r="E63" s="42">
        <v>4.8847691300756004</v>
      </c>
      <c r="F63" s="48">
        <v>5.7404449842334397</v>
      </c>
      <c r="H63" s="44">
        <f>((B63/100*B56)+(E63/100*E56))/(H56)*100</f>
        <v>5.2478387000339923</v>
      </c>
      <c r="I63" s="44">
        <f>((C63/100*C56)+(D63/100*D56))/(I56)*100</f>
        <v>6.4208221167437145</v>
      </c>
      <c r="J63" s="42">
        <f t="shared" si="23"/>
        <v>-1.1729834167097222</v>
      </c>
      <c r="K63" s="4">
        <f t="shared" si="24"/>
        <v>-0.22351742950905185</v>
      </c>
    </row>
    <row r="64" spans="1:11" ht="15" thickBot="1" x14ac:dyDescent="0.4">
      <c r="A64" s="66" t="s">
        <v>160</v>
      </c>
      <c r="B64" s="64">
        <f>SUM(B61:B63)</f>
        <v>13.654887912511191</v>
      </c>
      <c r="C64" s="64">
        <f t="shared" ref="C64:F64" si="25">SUM(C61:C63)</f>
        <v>15.41284828990729</v>
      </c>
      <c r="D64" s="64">
        <f t="shared" si="25"/>
        <v>15.636631632229189</v>
      </c>
      <c r="E64" s="64">
        <f t="shared" si="25"/>
        <v>11.641132912299971</v>
      </c>
      <c r="F64" s="49">
        <f t="shared" si="25"/>
        <v>13.79663665036797</v>
      </c>
      <c r="H64" s="64">
        <f>((B64/100*B56)+(E64/100*E56))/(H56)*100</f>
        <v>12.546613384506692</v>
      </c>
      <c r="I64" s="64">
        <f>((C64/100*C56)+(D64/100*D56))/(I56)*100</f>
        <v>15.523141716335569</v>
      </c>
      <c r="J64" s="64">
        <f>H64-I64</f>
        <v>-2.9765283318288773</v>
      </c>
      <c r="K64" s="65">
        <f>J64/H64</f>
        <v>-0.23723759078322063</v>
      </c>
    </row>
    <row r="65" spans="1:11" x14ac:dyDescent="0.35">
      <c r="A65" t="s">
        <v>161</v>
      </c>
      <c r="B65" s="53">
        <v>19.221645533162601</v>
      </c>
      <c r="C65" s="42">
        <v>13.3069994552844</v>
      </c>
      <c r="D65" s="42">
        <v>24.0144018419407</v>
      </c>
      <c r="E65" s="42">
        <v>17.988084850591999</v>
      </c>
      <c r="F65" s="48">
        <v>18.5601711391033</v>
      </c>
      <c r="H65" s="42">
        <f>((B65/100*B56)+(E65/100*E56))/(H56)*100</f>
        <v>18.542752677230549</v>
      </c>
      <c r="I65" s="42">
        <f>((C65/100*C56)+(D65/100*D56))/(I56)*100</f>
        <v>18.584229141450923</v>
      </c>
      <c r="J65" s="42">
        <f>H65-I65</f>
        <v>-4.1476464220373543E-2</v>
      </c>
      <c r="K65" s="4">
        <f>J65/H65</f>
        <v>-2.2368018892526295E-3</v>
      </c>
    </row>
    <row r="66" spans="1:11" ht="15" thickBot="1" x14ac:dyDescent="0.4"/>
    <row r="67" spans="1:11" ht="15" thickBot="1" x14ac:dyDescent="0.4">
      <c r="B67" s="129" t="s">
        <v>168</v>
      </c>
      <c r="C67" s="130"/>
      <c r="D67" s="130"/>
      <c r="E67" s="130"/>
      <c r="F67" s="131"/>
      <c r="H67" s="126" t="s">
        <v>146</v>
      </c>
      <c r="I67" s="127"/>
      <c r="J67" s="127"/>
      <c r="K67" s="128"/>
    </row>
    <row r="68" spans="1:11" x14ac:dyDescent="0.35">
      <c r="B68" s="11" t="s">
        <v>169</v>
      </c>
      <c r="C68" s="11" t="s">
        <v>170</v>
      </c>
      <c r="D68" s="11" t="s">
        <v>171</v>
      </c>
      <c r="E68" s="11" t="s">
        <v>172</v>
      </c>
      <c r="F68" s="17" t="s">
        <v>173</v>
      </c>
      <c r="H68" s="11" t="s">
        <v>137</v>
      </c>
      <c r="I68" s="11" t="s">
        <v>138</v>
      </c>
      <c r="J68" s="11" t="s">
        <v>139</v>
      </c>
      <c r="K68" s="11" t="s">
        <v>140</v>
      </c>
    </row>
    <row r="69" spans="1:11" x14ac:dyDescent="0.35">
      <c r="A69" s="12" t="s">
        <v>147</v>
      </c>
      <c r="B69" s="12"/>
      <c r="C69" s="12"/>
      <c r="D69" s="12"/>
      <c r="E69" s="12"/>
      <c r="F69" s="12"/>
      <c r="H69" s="13"/>
      <c r="I69" s="13"/>
      <c r="J69" s="13"/>
      <c r="K69" s="13"/>
    </row>
    <row r="70" spans="1:11" x14ac:dyDescent="0.35">
      <c r="A70" t="s">
        <v>148</v>
      </c>
      <c r="B70" s="40">
        <v>1816.63613605</v>
      </c>
      <c r="C70" s="40">
        <v>1927.9220705499999</v>
      </c>
      <c r="D70" s="40">
        <v>1794.8738284200001</v>
      </c>
      <c r="E70" s="40">
        <v>2277.99328986</v>
      </c>
      <c r="F70" s="45">
        <v>7817.4253248799996</v>
      </c>
      <c r="H70" s="55">
        <f>B70+E70</f>
        <v>4094.62942591</v>
      </c>
      <c r="I70" s="55">
        <f>SUM(C70:D70)</f>
        <v>3722.7958989700001</v>
      </c>
      <c r="J70" s="55">
        <f>H70-I70</f>
        <v>371.83352693999996</v>
      </c>
      <c r="K70" s="4">
        <f>J70/H70</f>
        <v>9.0810055871506076E-2</v>
      </c>
    </row>
    <row r="71" spans="1:11" x14ac:dyDescent="0.35">
      <c r="A71" t="s">
        <v>149</v>
      </c>
      <c r="B71" s="40">
        <v>234.05393878999999</v>
      </c>
      <c r="C71" s="40">
        <v>209.61609715999899</v>
      </c>
      <c r="D71" s="40">
        <v>155.22147570000001</v>
      </c>
      <c r="E71" s="40">
        <v>244.03430083000001</v>
      </c>
      <c r="F71" s="45">
        <v>842.92581247999999</v>
      </c>
      <c r="H71" s="55">
        <f>B71+E71</f>
        <v>478.08823961999997</v>
      </c>
      <c r="I71" s="55">
        <f>SUM(C71:D71)</f>
        <v>364.837572859999</v>
      </c>
      <c r="J71" s="55">
        <f t="shared" ref="J71" si="26">H71-I71</f>
        <v>113.25066676000097</v>
      </c>
      <c r="K71" s="4">
        <f t="shared" ref="K71:K73" si="27">J71/H71</f>
        <v>0.23688235219928494</v>
      </c>
    </row>
    <row r="72" spans="1:11" x14ac:dyDescent="0.35">
      <c r="A72" t="s">
        <v>150</v>
      </c>
      <c r="B72" s="5">
        <v>0.193891382500994</v>
      </c>
      <c r="C72" s="5">
        <v>0.172398945547202</v>
      </c>
      <c r="D72" s="5">
        <v>0.151923141617167</v>
      </c>
      <c r="E72" s="5">
        <v>0.16313895547200599</v>
      </c>
      <c r="F72" s="46">
        <v>0.16999383882191399</v>
      </c>
      <c r="H72" s="4">
        <f>(H76-H77-H78-H79)/H76</f>
        <v>0.17678267371878914</v>
      </c>
      <c r="I72" s="4">
        <f>(I76-I77-I78-I79)/I76</f>
        <v>0.16252693386908779</v>
      </c>
      <c r="J72" s="57">
        <f>H72-I72</f>
        <v>1.4255739849701354E-2</v>
      </c>
      <c r="K72" s="4">
        <f t="shared" si="27"/>
        <v>8.0639915382081928E-2</v>
      </c>
    </row>
    <row r="73" spans="1:11" x14ac:dyDescent="0.35">
      <c r="A73" t="s">
        <v>151</v>
      </c>
      <c r="B73" s="5">
        <v>0.12883919577803499</v>
      </c>
      <c r="C73" s="5">
        <v>0.108726436800529</v>
      </c>
      <c r="D73" s="5">
        <v>8.64804384810932E-2</v>
      </c>
      <c r="E73" s="5">
        <v>0.10712687430479501</v>
      </c>
      <c r="F73" s="46">
        <v>0.107826525671729</v>
      </c>
      <c r="H73" s="4">
        <f>H71/H70</f>
        <v>0.11675983096168673</v>
      </c>
      <c r="I73" s="4">
        <f>I71/I70</f>
        <v>9.800096023554232E-2</v>
      </c>
      <c r="J73" s="57">
        <f t="shared" ref="J73" si="28">H73-I73</f>
        <v>1.8758870726144405E-2</v>
      </c>
      <c r="K73" s="4">
        <f t="shared" si="27"/>
        <v>0.16066202367404842</v>
      </c>
    </row>
    <row r="74" spans="1:11" x14ac:dyDescent="0.35">
      <c r="A74" s="12" t="s">
        <v>152</v>
      </c>
      <c r="B74" s="43"/>
      <c r="C74" s="43"/>
      <c r="D74" s="43"/>
      <c r="E74" s="43"/>
      <c r="F74" s="43"/>
      <c r="H74" s="13"/>
      <c r="I74" s="13"/>
      <c r="J74" s="59"/>
      <c r="K74" s="60"/>
    </row>
    <row r="75" spans="1:11" x14ac:dyDescent="0.35">
      <c r="A75" t="s">
        <v>153</v>
      </c>
      <c r="B75" s="39">
        <v>769.60792264499901</v>
      </c>
      <c r="C75" s="39">
        <v>786.10075065199999</v>
      </c>
      <c r="D75" s="39">
        <v>726.396770594999</v>
      </c>
      <c r="E75" s="39">
        <v>1003.450733579</v>
      </c>
      <c r="F75" s="47">
        <v>3285.55617747099</v>
      </c>
      <c r="H75" s="56">
        <f>B75+E75</f>
        <v>1773.0586562239992</v>
      </c>
      <c r="I75" s="56">
        <f>C75+D75</f>
        <v>1512.497521246999</v>
      </c>
      <c r="J75" s="39">
        <f t="shared" ref="J75:J76" si="29">H75-I75</f>
        <v>260.56113497700017</v>
      </c>
      <c r="K75" s="4">
        <f t="shared" ref="K75:K82" si="30">J75/H75</f>
        <v>0.14695573328177711</v>
      </c>
    </row>
    <row r="76" spans="1:11" x14ac:dyDescent="0.35">
      <c r="A76" t="s">
        <v>27</v>
      </c>
      <c r="B76" s="42">
        <v>236.04696399259399</v>
      </c>
      <c r="C76" s="42">
        <v>245.25126950342701</v>
      </c>
      <c r="D76" s="42">
        <v>247.092759918219</v>
      </c>
      <c r="E76" s="42">
        <v>227.01595739883501</v>
      </c>
      <c r="F76" s="48">
        <v>237.933089638946</v>
      </c>
      <c r="H76" s="42">
        <f>((B76/100*B75)+(E76/100*E75))/(H75)*100</f>
        <v>230.93592597946727</v>
      </c>
      <c r="I76" s="42">
        <f>((C76/100*C75)+(D76/100*D75))/(I75)*100</f>
        <v>246.1356694258042</v>
      </c>
      <c r="J76" s="42">
        <f t="shared" si="29"/>
        <v>-15.199743446336925</v>
      </c>
      <c r="K76" s="4">
        <f t="shared" si="30"/>
        <v>-6.5818011562602641E-2</v>
      </c>
    </row>
    <row r="77" spans="1:11" x14ac:dyDescent="0.35">
      <c r="A77" t="s">
        <v>154</v>
      </c>
      <c r="B77" s="42">
        <v>121.465008770602</v>
      </c>
      <c r="C77" s="42">
        <v>136.861586209867</v>
      </c>
      <c r="D77" s="42">
        <v>138.64285740216999</v>
      </c>
      <c r="E77" s="42">
        <v>134.81239646864</v>
      </c>
      <c r="F77" s="48">
        <v>133.023064326483</v>
      </c>
      <c r="H77" s="42">
        <f>((B77/100*B75)+(E77/100*E75))/(H75)*100</f>
        <v>129.0188739120311</v>
      </c>
      <c r="I77" s="42">
        <f>((C77/100*C75)+(D77/100*D75))/(I75)*100</f>
        <v>137.71706506088421</v>
      </c>
      <c r="J77" s="42">
        <f>H77-I77</f>
        <v>-8.6981911488531125</v>
      </c>
      <c r="K77" s="4">
        <f t="shared" si="30"/>
        <v>-6.7417974480104337E-2</v>
      </c>
    </row>
    <row r="78" spans="1:11" x14ac:dyDescent="0.35">
      <c r="A78" t="s">
        <v>155</v>
      </c>
      <c r="B78" s="42">
        <v>48.332896213125601</v>
      </c>
      <c r="C78" s="42">
        <v>46.1134817120248</v>
      </c>
      <c r="D78" s="42">
        <v>51.100431021458498</v>
      </c>
      <c r="E78" s="42">
        <v>37.190064502615598</v>
      </c>
      <c r="F78" s="48">
        <v>45.010585735846902</v>
      </c>
      <c r="H78" s="42">
        <f>((B78/100*B75)+(E78/100*E75))/(H75)*100</f>
        <v>42.026684845098515</v>
      </c>
      <c r="I78" s="42">
        <f>((C78/100*C75)+(D78/100*D75))/(I75)*100</f>
        <v>48.508529520438373</v>
      </c>
      <c r="J78" s="42">
        <f t="shared" ref="J78:J82" si="31">H78-I78</f>
        <v>-6.4818446753398575</v>
      </c>
      <c r="K78" s="4">
        <f t="shared" si="30"/>
        <v>-0.15423164351960114</v>
      </c>
    </row>
    <row r="79" spans="1:11" x14ac:dyDescent="0.35">
      <c r="A79" t="s">
        <v>156</v>
      </c>
      <c r="B79" s="42">
        <v>20.481586825179999</v>
      </c>
      <c r="C79" s="42">
        <v>19.995141325031302</v>
      </c>
      <c r="D79" s="42">
        <v>19.8103631369572</v>
      </c>
      <c r="E79" s="42">
        <v>17.978350262055699</v>
      </c>
      <c r="F79" s="48">
        <v>19.452280286132499</v>
      </c>
      <c r="H79" s="42">
        <f>((B79/100*B75)+(E79/100*E75))/(H75)*100</f>
        <v>19.064896769963056</v>
      </c>
      <c r="I79" s="42">
        <f>((C79/100*C75)+(D79/100*D75))/(I75)*100</f>
        <v>19.906399176890282</v>
      </c>
      <c r="J79" s="42">
        <f t="shared" si="31"/>
        <v>-0.84150240692722633</v>
      </c>
      <c r="K79" s="4">
        <f t="shared" si="30"/>
        <v>-4.4138838887028339E-2</v>
      </c>
    </row>
    <row r="80" spans="1:11" x14ac:dyDescent="0.35">
      <c r="A80" t="s">
        <v>157</v>
      </c>
      <c r="B80" s="42">
        <v>2.8310588936141001</v>
      </c>
      <c r="C80" s="42">
        <v>3.5941823050755102</v>
      </c>
      <c r="D80" s="42">
        <v>4.1673757628635997</v>
      </c>
      <c r="E80" s="42">
        <v>3.5162558209662298</v>
      </c>
      <c r="F80" s="48">
        <v>3.5183548588409499</v>
      </c>
      <c r="H80" s="42">
        <f>((B80/100*B75)+(E80/100*E75))/(H75)*100</f>
        <v>3.218841529560188</v>
      </c>
      <c r="I80" s="42">
        <f>((C80/100*C75)+(D80/100*D75))/(I75)*100</f>
        <v>3.8694659804630707</v>
      </c>
      <c r="J80" s="42">
        <f t="shared" si="31"/>
        <v>-0.65062445090288268</v>
      </c>
      <c r="K80" s="4">
        <f t="shared" si="30"/>
        <v>-0.20213000389360017</v>
      </c>
    </row>
    <row r="81" spans="1:11" x14ac:dyDescent="0.35">
      <c r="A81" t="s">
        <v>158</v>
      </c>
      <c r="B81" s="42">
        <v>7.3186586653657901</v>
      </c>
      <c r="C81" s="44">
        <v>6.8061316931225404</v>
      </c>
      <c r="D81" s="44">
        <v>6.8332847610737497</v>
      </c>
      <c r="E81" s="42">
        <v>5.2385103025948903</v>
      </c>
      <c r="F81" s="48">
        <v>6.4534175551125896</v>
      </c>
      <c r="H81" s="44">
        <f>((B81/100*B75)+(E81/100*E75))/(H75)*100</f>
        <v>6.1414125583357508</v>
      </c>
      <c r="I81" s="44">
        <f>((C81/100*C75)+(D81/100*D75))/(I75)*100</f>
        <v>6.8191723101116128</v>
      </c>
      <c r="J81" s="42">
        <f t="shared" si="31"/>
        <v>-0.67775975177586201</v>
      </c>
      <c r="K81" s="4">
        <f t="shared" si="30"/>
        <v>-0.11035893539767776</v>
      </c>
    </row>
    <row r="82" spans="1:11" x14ac:dyDescent="0.35">
      <c r="A82" t="s">
        <v>159</v>
      </c>
      <c r="B82" s="42">
        <v>5.2056536180540398</v>
      </c>
      <c r="C82" s="44">
        <v>5.2154496043917096</v>
      </c>
      <c r="D82" s="44">
        <v>5.1697576104640302</v>
      </c>
      <c r="E82" s="42">
        <v>3.9608701085144902</v>
      </c>
      <c r="F82" s="48">
        <v>4.8198884784217801</v>
      </c>
      <c r="H82" s="44">
        <f>((B82/100*B75)+(E82/100*E75))/(H75)*100</f>
        <v>4.501176684135447</v>
      </c>
      <c r="I82" s="44">
        <f>((C82/100*C75)+(D82/100*D75))/(I75)*100</f>
        <v>5.1935054250691888</v>
      </c>
      <c r="J82" s="42">
        <f t="shared" si="31"/>
        <v>-0.69232874093374175</v>
      </c>
      <c r="K82" s="4">
        <f t="shared" si="30"/>
        <v>-0.15381061209480587</v>
      </c>
    </row>
    <row r="83" spans="1:11" ht="15" thickBot="1" x14ac:dyDescent="0.4">
      <c r="A83" s="66" t="s">
        <v>160</v>
      </c>
      <c r="B83" s="64">
        <f>SUM(B80:B82)</f>
        <v>15.355371177033931</v>
      </c>
      <c r="C83" s="64">
        <f t="shared" ref="C83:F83" si="32">SUM(C80:C82)</f>
        <v>15.615763602589761</v>
      </c>
      <c r="D83" s="64">
        <f t="shared" si="32"/>
        <v>16.17041813440138</v>
      </c>
      <c r="E83" s="64">
        <f t="shared" si="32"/>
        <v>12.71563623207561</v>
      </c>
      <c r="F83" s="49">
        <f t="shared" si="32"/>
        <v>14.791660892375319</v>
      </c>
      <c r="H83" s="64">
        <f>((B83/100*B75)+(E83/100*E75))/(H75)*100</f>
        <v>13.861430772031385</v>
      </c>
      <c r="I83" s="64">
        <f>((C83/100*C75)+(D83/100*D75))/(I75)*100</f>
        <v>15.882143715643874</v>
      </c>
      <c r="J83" s="64">
        <f>H83-I83</f>
        <v>-2.0207129436124891</v>
      </c>
      <c r="K83" s="65">
        <f>J83/H83</f>
        <v>-0.14577953581023834</v>
      </c>
    </row>
    <row r="84" spans="1:11" x14ac:dyDescent="0.35">
      <c r="A84" t="s">
        <v>161</v>
      </c>
      <c r="B84" s="53">
        <v>30.412101006652801</v>
      </c>
      <c r="C84" s="42">
        <v>26.665296653913899</v>
      </c>
      <c r="D84" s="42">
        <v>21.368690223230999</v>
      </c>
      <c r="E84" s="42">
        <v>24.319509933447801</v>
      </c>
      <c r="F84" s="48">
        <v>25.6554983981076</v>
      </c>
      <c r="H84" s="42">
        <f>((B84/100*B75)+(E84/100*E75))/(H75)*100</f>
        <v>26.964039680343205</v>
      </c>
      <c r="I84" s="42">
        <f>((C84/100*C75)+(D84/100*D75))/(I75)*100</f>
        <v>24.121531951946857</v>
      </c>
      <c r="J84" s="42">
        <f>H84-I84</f>
        <v>2.8425077283963489</v>
      </c>
      <c r="K84" s="4">
        <f>J84/H84</f>
        <v>0.10541846704329463</v>
      </c>
    </row>
  </sheetData>
  <mergeCells count="7">
    <mergeCell ref="H29:K29"/>
    <mergeCell ref="H48:K48"/>
    <mergeCell ref="H67:K67"/>
    <mergeCell ref="H10:K10"/>
    <mergeCell ref="B29:F29"/>
    <mergeCell ref="B48:F48"/>
    <mergeCell ref="B67:F67"/>
  </mergeCells>
  <phoneticPr fontId="4" type="noConversion"/>
  <pageMargins left="0.2" right="0.2" top="0.5" bottom="0.25" header="0.3" footer="0.3"/>
  <pageSetup orientation="portrait" r:id="rId1"/>
  <rowBreaks count="1" manualBreakCount="1">
    <brk id="46" max="16383" man="1"/>
  </rowBreaks>
  <customProperties>
    <customPr name="_pios_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6B32-9B5F-473D-90E9-BC7715C9AE7A}">
  <dimension ref="A2:R52"/>
  <sheetViews>
    <sheetView workbookViewId="0">
      <selection activeCell="G42" sqref="G42"/>
    </sheetView>
  </sheetViews>
  <sheetFormatPr defaultRowHeight="14.5" x14ac:dyDescent="0.35"/>
  <cols>
    <col min="1" max="1" width="17.7265625" bestFit="1" customWidth="1"/>
    <col min="2" max="18" width="12" bestFit="1" customWidth="1"/>
  </cols>
  <sheetData>
    <row r="2" spans="1:18" x14ac:dyDescent="0.35">
      <c r="B2" s="36">
        <v>44583</v>
      </c>
      <c r="C2" s="36">
        <v>44614</v>
      </c>
      <c r="D2" s="36">
        <v>44642</v>
      </c>
      <c r="E2" s="36">
        <v>44673</v>
      </c>
      <c r="F2" s="36">
        <v>44703</v>
      </c>
      <c r="G2" s="36">
        <v>44734</v>
      </c>
      <c r="H2" s="36">
        <v>44764</v>
      </c>
      <c r="I2" s="36">
        <v>44795</v>
      </c>
      <c r="J2" s="36">
        <v>44826</v>
      </c>
      <c r="K2" s="36">
        <v>44856</v>
      </c>
      <c r="L2" s="36">
        <v>44887</v>
      </c>
      <c r="M2" s="36">
        <v>44917</v>
      </c>
      <c r="N2" t="s">
        <v>174</v>
      </c>
      <c r="O2" t="s">
        <v>175</v>
      </c>
      <c r="P2" t="s">
        <v>176</v>
      </c>
      <c r="Q2" t="s">
        <v>177</v>
      </c>
      <c r="R2" t="s">
        <v>178</v>
      </c>
    </row>
    <row r="3" spans="1:18" x14ac:dyDescent="0.35">
      <c r="A3" t="s">
        <v>179</v>
      </c>
    </row>
    <row r="4" spans="1:18" x14ac:dyDescent="0.35">
      <c r="A4" t="s">
        <v>153</v>
      </c>
      <c r="B4" s="38">
        <v>205.191805514999</v>
      </c>
      <c r="C4" s="38">
        <v>223.04328202899899</v>
      </c>
      <c r="D4" s="38">
        <v>355.89512532399999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784.13021286799994</v>
      </c>
      <c r="O4" s="38">
        <v>0</v>
      </c>
      <c r="P4" s="38">
        <v>0</v>
      </c>
      <c r="Q4" s="38">
        <v>0</v>
      </c>
      <c r="R4" s="38">
        <v>784.13021286799994</v>
      </c>
    </row>
    <row r="5" spans="1:18" x14ac:dyDescent="0.35">
      <c r="A5" t="s">
        <v>148</v>
      </c>
      <c r="B5" s="38">
        <v>583.59893067999894</v>
      </c>
      <c r="C5" s="38">
        <v>648.44913600999996</v>
      </c>
      <c r="D5" s="38">
        <v>1000.76985944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2232.8179261299902</v>
      </c>
      <c r="O5" s="38">
        <v>0</v>
      </c>
      <c r="P5" s="38">
        <v>0</v>
      </c>
      <c r="Q5" s="38">
        <v>0</v>
      </c>
      <c r="R5" s="38">
        <v>2232.8179261299902</v>
      </c>
    </row>
    <row r="6" spans="1:18" x14ac:dyDescent="0.35">
      <c r="A6" t="s">
        <v>149</v>
      </c>
      <c r="B6" s="38">
        <v>88.089690119999801</v>
      </c>
      <c r="C6" s="38">
        <v>84.887358859999793</v>
      </c>
      <c r="D6" s="38">
        <v>127.17865802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300.15570699999898</v>
      </c>
      <c r="O6" s="38">
        <v>0</v>
      </c>
      <c r="P6" s="38">
        <v>0</v>
      </c>
      <c r="Q6" s="38">
        <v>0</v>
      </c>
      <c r="R6" s="38">
        <v>300.15570699999898</v>
      </c>
    </row>
    <row r="7" spans="1:18" x14ac:dyDescent="0.35">
      <c r="A7" t="s">
        <v>150</v>
      </c>
      <c r="B7" s="38">
        <v>0.20228857184923801</v>
      </c>
      <c r="C7" s="38">
        <v>0.17535042776006701</v>
      </c>
      <c r="D7" s="38">
        <v>0.16517352187494599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0.17782995434751001</v>
      </c>
      <c r="O7" s="38">
        <v>0</v>
      </c>
      <c r="P7" s="38">
        <v>0</v>
      </c>
      <c r="Q7" s="38">
        <v>0</v>
      </c>
      <c r="R7" s="38">
        <v>0.17782995434751001</v>
      </c>
    </row>
    <row r="8" spans="1:18" x14ac:dyDescent="0.35">
      <c r="A8" t="s">
        <v>151</v>
      </c>
      <c r="B8" s="38">
        <v>0.150942171907955</v>
      </c>
      <c r="C8" s="38">
        <v>0.130908276603349</v>
      </c>
      <c r="D8" s="38">
        <v>0.127080823648271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0.134429101221092</v>
      </c>
      <c r="O8" s="38">
        <v>0</v>
      </c>
      <c r="P8" s="38">
        <v>0</v>
      </c>
      <c r="Q8" s="38">
        <v>0</v>
      </c>
      <c r="R8" s="38">
        <v>0.134429101221092</v>
      </c>
    </row>
    <row r="9" spans="1:18" x14ac:dyDescent="0.35">
      <c r="A9" t="s">
        <v>152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</row>
    <row r="10" spans="1:18" x14ac:dyDescent="0.35">
      <c r="A10" t="s">
        <v>27</v>
      </c>
      <c r="B10" s="38">
        <v>284.41629489796401</v>
      </c>
      <c r="C10" s="38">
        <v>290.72793859161698</v>
      </c>
      <c r="D10" s="38">
        <v>281.19796766783998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284.75091119921802</v>
      </c>
      <c r="O10" s="38">
        <v>0</v>
      </c>
      <c r="P10" s="38">
        <v>0</v>
      </c>
      <c r="Q10" s="38">
        <v>0</v>
      </c>
      <c r="R10" s="38">
        <v>284.75091119921802</v>
      </c>
    </row>
    <row r="11" spans="1:18" x14ac:dyDescent="0.35">
      <c r="A11" t="s">
        <v>154</v>
      </c>
      <c r="B11" s="38">
        <v>154.487948582987</v>
      </c>
      <c r="C11" s="38">
        <v>168.13045626667099</v>
      </c>
      <c r="D11" s="38">
        <v>165.471414233019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163.353608212984</v>
      </c>
      <c r="O11" s="38">
        <v>0</v>
      </c>
      <c r="P11" s="38">
        <v>0</v>
      </c>
      <c r="Q11" s="38">
        <v>0</v>
      </c>
      <c r="R11" s="38">
        <v>163.353608212984</v>
      </c>
    </row>
    <row r="12" spans="1:18" x14ac:dyDescent="0.35">
      <c r="A12" t="s">
        <v>155</v>
      </c>
      <c r="B12" s="38">
        <v>50.904223449530797</v>
      </c>
      <c r="C12" s="38">
        <v>50.586088908883902</v>
      </c>
      <c r="D12" s="38">
        <v>51.199042351061998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50.947541303221797</v>
      </c>
      <c r="O12" s="38">
        <v>0</v>
      </c>
      <c r="P12" s="38">
        <v>0</v>
      </c>
      <c r="Q12" s="38">
        <v>0</v>
      </c>
      <c r="R12" s="38">
        <v>50.947541303221797</v>
      </c>
    </row>
    <row r="13" spans="1:18" x14ac:dyDescent="0.35">
      <c r="A13" t="s">
        <v>156</v>
      </c>
      <c r="B13" s="38">
        <v>21.489956759884599</v>
      </c>
      <c r="C13" s="38">
        <v>21.032125022218999</v>
      </c>
      <c r="D13" s="38">
        <v>18.081052419983902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19.812520144042999</v>
      </c>
      <c r="O13" s="38">
        <v>0</v>
      </c>
      <c r="P13" s="38">
        <v>0</v>
      </c>
      <c r="Q13" s="38">
        <v>0</v>
      </c>
      <c r="R13" s="38">
        <v>19.812520144042999</v>
      </c>
    </row>
    <row r="14" spans="1:18" x14ac:dyDescent="0.35">
      <c r="A14" t="s">
        <v>157</v>
      </c>
      <c r="B14" s="38">
        <v>3.33242455898178</v>
      </c>
      <c r="C14" s="38">
        <v>3.15298627962515</v>
      </c>
      <c r="D14" s="38">
        <v>1.6541360758005801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2.51965496747489</v>
      </c>
      <c r="O14" s="38">
        <v>0</v>
      </c>
      <c r="P14" s="38">
        <v>0</v>
      </c>
      <c r="Q14" s="38">
        <v>0</v>
      </c>
      <c r="R14" s="38">
        <v>2.51965496747489</v>
      </c>
    </row>
    <row r="15" spans="1:18" x14ac:dyDescent="0.35">
      <c r="A15" t="s">
        <v>158</v>
      </c>
      <c r="B15" s="38">
        <v>5.6113084784754204</v>
      </c>
      <c r="C15" s="38">
        <v>4.7695276733853103</v>
      </c>
      <c r="D15" s="38">
        <v>4.1971849562145902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4.7300349216672304</v>
      </c>
      <c r="O15" s="38">
        <v>0</v>
      </c>
      <c r="P15" s="38">
        <v>0</v>
      </c>
      <c r="Q15" s="38">
        <v>0</v>
      </c>
      <c r="R15" s="38">
        <v>4.7300349216672304</v>
      </c>
    </row>
    <row r="16" spans="1:18" x14ac:dyDescent="0.35">
      <c r="A16" t="s">
        <v>159</v>
      </c>
      <c r="B16" s="38">
        <v>5.6600197901913702</v>
      </c>
      <c r="C16" s="38">
        <v>4.9980610393594196</v>
      </c>
      <c r="D16" s="38">
        <v>4.8602682923101899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5.1087425854286703</v>
      </c>
      <c r="O16" s="38">
        <v>0</v>
      </c>
      <c r="P16" s="38">
        <v>0</v>
      </c>
      <c r="Q16" s="38">
        <v>0</v>
      </c>
      <c r="R16" s="38">
        <v>5.1087425854286703</v>
      </c>
    </row>
    <row r="17" spans="1:18" x14ac:dyDescent="0.35">
      <c r="A17" t="s">
        <v>161</v>
      </c>
      <c r="B17" s="38">
        <v>42.9304132779124</v>
      </c>
      <c r="C17" s="38">
        <v>38.058693401473001</v>
      </c>
      <c r="D17" s="38">
        <v>35.734869339449098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38.278809064397997</v>
      </c>
      <c r="O17" s="38">
        <v>0</v>
      </c>
      <c r="P17" s="38">
        <v>0</v>
      </c>
      <c r="Q17" s="38">
        <v>0</v>
      </c>
      <c r="R17" s="38">
        <v>38.278809064397997</v>
      </c>
    </row>
    <row r="19" spans="1:18" x14ac:dyDescent="0.35">
      <c r="B19" s="5"/>
      <c r="C19" s="5"/>
      <c r="D19" s="5"/>
    </row>
    <row r="20" spans="1:18" x14ac:dyDescent="0.35">
      <c r="B20" s="36">
        <v>44582</v>
      </c>
      <c r="C20" s="36">
        <v>44613</v>
      </c>
      <c r="D20" s="36">
        <v>44641</v>
      </c>
      <c r="E20" s="36">
        <v>44672</v>
      </c>
      <c r="F20" s="36">
        <v>44702</v>
      </c>
      <c r="G20" s="36">
        <v>44733</v>
      </c>
      <c r="H20" s="36">
        <v>44763</v>
      </c>
      <c r="I20" s="36">
        <v>44794</v>
      </c>
      <c r="J20" s="36">
        <v>44825</v>
      </c>
      <c r="K20" s="36">
        <v>44855</v>
      </c>
      <c r="L20" s="36">
        <v>44886</v>
      </c>
      <c r="M20" s="36">
        <v>44916</v>
      </c>
      <c r="N20" t="s">
        <v>180</v>
      </c>
      <c r="O20" t="s">
        <v>181</v>
      </c>
      <c r="P20" t="s">
        <v>182</v>
      </c>
      <c r="Q20" t="s">
        <v>183</v>
      </c>
      <c r="R20" t="s">
        <v>184</v>
      </c>
    </row>
    <row r="21" spans="1:18" x14ac:dyDescent="0.35">
      <c r="A21" t="s">
        <v>179</v>
      </c>
    </row>
    <row r="22" spans="1:18" x14ac:dyDescent="0.35">
      <c r="A22" t="s">
        <v>153</v>
      </c>
      <c r="B22" s="37">
        <v>206.85942732999999</v>
      </c>
      <c r="C22" s="37">
        <v>232.74279549699901</v>
      </c>
      <c r="D22" s="37">
        <v>372.80077855500002</v>
      </c>
      <c r="E22" s="38">
        <v>213.00192573699999</v>
      </c>
      <c r="F22" s="38">
        <v>215.13477225899999</v>
      </c>
      <c r="G22" s="38">
        <v>272.83716637800001</v>
      </c>
      <c r="H22" s="38">
        <v>206.46574449600001</v>
      </c>
      <c r="I22" s="38">
        <v>212.210977377999</v>
      </c>
      <c r="J22" s="38">
        <v>277.47247202199998</v>
      </c>
      <c r="K22" s="38">
        <v>274.65699146999998</v>
      </c>
      <c r="L22" s="38">
        <v>328.50154489499897</v>
      </c>
      <c r="M22" s="38">
        <v>342.74735668</v>
      </c>
      <c r="N22" s="38">
        <v>812.40300138199996</v>
      </c>
      <c r="O22" s="38">
        <v>700.97386437399996</v>
      </c>
      <c r="P22" s="38">
        <v>696.14919389600004</v>
      </c>
      <c r="Q22" s="38">
        <v>945.90589304499997</v>
      </c>
      <c r="R22" s="38">
        <v>3155.4319526969898</v>
      </c>
    </row>
    <row r="23" spans="1:18" x14ac:dyDescent="0.35">
      <c r="A23" t="s">
        <v>148</v>
      </c>
      <c r="B23" s="38">
        <v>498.57132361999999</v>
      </c>
      <c r="C23" s="38">
        <v>548.79805809000004</v>
      </c>
      <c r="D23" s="38">
        <v>869.15753202999997</v>
      </c>
      <c r="E23" s="38">
        <v>577.98371727999995</v>
      </c>
      <c r="F23" s="38">
        <v>607.90165787999899</v>
      </c>
      <c r="G23" s="38">
        <v>770.66011863000006</v>
      </c>
      <c r="H23" s="38">
        <v>600.53220825999995</v>
      </c>
      <c r="I23" s="38">
        <v>639.39824709000004</v>
      </c>
      <c r="J23" s="38">
        <v>837.14802584999995</v>
      </c>
      <c r="K23" s="38">
        <v>774.26735974999997</v>
      </c>
      <c r="L23" s="38">
        <v>866.40985290000003</v>
      </c>
      <c r="M23" s="38">
        <v>923.77561722999997</v>
      </c>
      <c r="N23" s="38">
        <v>1916.5269137400001</v>
      </c>
      <c r="O23" s="38">
        <v>1956.5454937899999</v>
      </c>
      <c r="P23" s="38">
        <v>2077.0784811999902</v>
      </c>
      <c r="Q23" s="38">
        <v>2564.4528298800001</v>
      </c>
      <c r="R23" s="38">
        <v>8514.6037186099893</v>
      </c>
    </row>
    <row r="24" spans="1:18" x14ac:dyDescent="0.35">
      <c r="A24" t="s">
        <v>149</v>
      </c>
      <c r="B24" s="38">
        <v>49.979341300000002</v>
      </c>
      <c r="C24" s="38">
        <v>58.920790410000002</v>
      </c>
      <c r="D24" s="38">
        <v>83.0609317199998</v>
      </c>
      <c r="E24" s="38">
        <v>45.519804909999898</v>
      </c>
      <c r="F24" s="38">
        <v>43.259946399999897</v>
      </c>
      <c r="G24" s="38">
        <v>74.768874839999896</v>
      </c>
      <c r="H24" s="38">
        <v>51.857429869999798</v>
      </c>
      <c r="I24" s="38">
        <v>31.929195249999999</v>
      </c>
      <c r="J24" s="38">
        <v>80.807130490000006</v>
      </c>
      <c r="K24" s="38">
        <v>96.915435469999906</v>
      </c>
      <c r="L24" s="38">
        <v>112.67585506</v>
      </c>
      <c r="M24" s="38">
        <v>148.82639917999899</v>
      </c>
      <c r="N24" s="38">
        <v>191.961063429999</v>
      </c>
      <c r="O24" s="38">
        <v>163.548626149999</v>
      </c>
      <c r="P24" s="38">
        <v>164.59375560999999</v>
      </c>
      <c r="Q24" s="38">
        <v>358.41768970999999</v>
      </c>
      <c r="R24" s="38">
        <v>878.52113489999999</v>
      </c>
    </row>
    <row r="25" spans="1:18" x14ac:dyDescent="0.35">
      <c r="A25" t="s">
        <v>150</v>
      </c>
      <c r="B25" s="38">
        <v>0.15947415734363399</v>
      </c>
      <c r="C25" s="38">
        <v>0.162782137988814</v>
      </c>
      <c r="D25" s="38">
        <v>0.133531293629742</v>
      </c>
      <c r="E25" s="38">
        <v>0.131667310262882</v>
      </c>
      <c r="F25" s="38">
        <v>0.123467279463837</v>
      </c>
      <c r="G25" s="38">
        <v>0.13140758017948001</v>
      </c>
      <c r="H25" s="38">
        <v>0.13524380866319199</v>
      </c>
      <c r="I25" s="38">
        <v>9.9599743101948301E-2</v>
      </c>
      <c r="J25" s="38">
        <v>0.138823455173295</v>
      </c>
      <c r="K25" s="38">
        <v>0.16646266686434399</v>
      </c>
      <c r="L25" s="38">
        <v>0.163644221133256</v>
      </c>
      <c r="M25" s="38">
        <v>0.20254055238114699</v>
      </c>
      <c r="N25" s="38">
        <v>0.148656139659435</v>
      </c>
      <c r="O25" s="38">
        <v>0.12901724362719699</v>
      </c>
      <c r="P25" s="38">
        <v>0.12571404885439999</v>
      </c>
      <c r="Q25" s="38">
        <v>0.178506538933461</v>
      </c>
      <c r="R25" s="38">
        <v>0.14753724134269799</v>
      </c>
    </row>
    <row r="26" spans="1:18" x14ac:dyDescent="0.35">
      <c r="A26" t="s">
        <v>151</v>
      </c>
      <c r="B26" s="38">
        <v>0.100245118265352</v>
      </c>
      <c r="C26" s="38">
        <v>0.10736333618792999</v>
      </c>
      <c r="D26" s="38">
        <v>9.5564875939121302E-2</v>
      </c>
      <c r="E26" s="38">
        <v>7.8756206358574998E-2</v>
      </c>
      <c r="F26" s="38">
        <v>7.11627379844052E-2</v>
      </c>
      <c r="G26" s="38">
        <v>9.7019260543696403E-2</v>
      </c>
      <c r="H26" s="38">
        <v>8.6352453967878107E-2</v>
      </c>
      <c r="I26" s="38">
        <v>4.9936319649474703E-2</v>
      </c>
      <c r="J26" s="38">
        <v>9.65266930038476E-2</v>
      </c>
      <c r="K26" s="38">
        <v>0.12517050376667299</v>
      </c>
      <c r="L26" s="38">
        <v>0.130049138618238</v>
      </c>
      <c r="M26" s="38">
        <v>0.161106654477702</v>
      </c>
      <c r="N26" s="38">
        <v>0.100160901500411</v>
      </c>
      <c r="O26" s="38">
        <v>8.35905051372927E-2</v>
      </c>
      <c r="P26" s="38">
        <v>7.9242915999451505E-2</v>
      </c>
      <c r="Q26" s="38">
        <v>0.13976380674031399</v>
      </c>
      <c r="R26" s="38">
        <v>0.10317815883549</v>
      </c>
    </row>
    <row r="27" spans="1:18" x14ac:dyDescent="0.35">
      <c r="A27" t="s">
        <v>152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</row>
    <row r="28" spans="1:18" x14ac:dyDescent="0.35">
      <c r="A28" t="s">
        <v>27</v>
      </c>
      <c r="B28" s="38">
        <v>241.019386960129</v>
      </c>
      <c r="C28" s="38">
        <v>235.795938137674</v>
      </c>
      <c r="D28" s="38">
        <v>233.14262792017499</v>
      </c>
      <c r="E28" s="38">
        <v>271.35140458478901</v>
      </c>
      <c r="F28" s="38">
        <v>282.567830154462</v>
      </c>
      <c r="G28" s="38">
        <v>282.46156081327098</v>
      </c>
      <c r="H28" s="38">
        <v>290.86287884023898</v>
      </c>
      <c r="I28" s="38">
        <v>301.30309703586801</v>
      </c>
      <c r="J28" s="38">
        <v>301.70489337177298</v>
      </c>
      <c r="K28" s="38">
        <v>281.90338633144501</v>
      </c>
      <c r="L28" s="38">
        <v>263.74605123301097</v>
      </c>
      <c r="M28" s="38">
        <v>269.52085821407701</v>
      </c>
      <c r="N28" s="38">
        <v>235.90839896944499</v>
      </c>
      <c r="O28" s="38">
        <v>279.11818018169299</v>
      </c>
      <c r="P28" s="38">
        <v>298.36685862920001</v>
      </c>
      <c r="Q28" s="38">
        <v>271.11077843321999</v>
      </c>
      <c r="R28" s="38">
        <v>269.83956067670601</v>
      </c>
    </row>
    <row r="29" spans="1:18" x14ac:dyDescent="0.35">
      <c r="A29" t="s">
        <v>154</v>
      </c>
      <c r="B29" s="38">
        <v>134.104089340347</v>
      </c>
      <c r="C29" s="38">
        <v>134.419652976511</v>
      </c>
      <c r="D29" s="38">
        <v>139.617360824049</v>
      </c>
      <c r="E29" s="38">
        <v>158.86398575466899</v>
      </c>
      <c r="F29" s="38">
        <v>205.377470959493</v>
      </c>
      <c r="G29" s="38">
        <v>178.84181896099099</v>
      </c>
      <c r="H29" s="38">
        <v>183.54898658617</v>
      </c>
      <c r="I29" s="38">
        <v>196.11082641059599</v>
      </c>
      <c r="J29" s="38">
        <v>190.879720615314</v>
      </c>
      <c r="K29" s="38">
        <v>164.41994468556001</v>
      </c>
      <c r="L29" s="38">
        <v>149.12057402243701</v>
      </c>
      <c r="M29" s="38">
        <v>144.76736083868701</v>
      </c>
      <c r="N29" s="38">
        <v>136.72446009319501</v>
      </c>
      <c r="O29" s="38">
        <v>180.91525504514601</v>
      </c>
      <c r="P29" s="38">
        <v>190.30017906160299</v>
      </c>
      <c r="Q29" s="38">
        <v>151.985580812065</v>
      </c>
      <c r="R29" s="38">
        <v>162.93604416213401</v>
      </c>
    </row>
    <row r="30" spans="1:18" x14ac:dyDescent="0.35">
      <c r="A30" t="s">
        <v>155</v>
      </c>
      <c r="B30" s="38">
        <v>50.126791151281502</v>
      </c>
      <c r="C30" s="38">
        <v>45.841979768810901</v>
      </c>
      <c r="D30" s="38">
        <v>46.245599998006597</v>
      </c>
      <c r="E30" s="38">
        <v>58.638930003957</v>
      </c>
      <c r="F30" s="38">
        <v>24.857015232117</v>
      </c>
      <c r="G30" s="38">
        <v>49.399675204523597</v>
      </c>
      <c r="H30" s="38">
        <v>47.875847158711103</v>
      </c>
      <c r="I30" s="38">
        <v>55.508244495843797</v>
      </c>
      <c r="J30" s="38">
        <v>49.940945081936903</v>
      </c>
      <c r="K30" s="38">
        <v>50.573014186377101</v>
      </c>
      <c r="L30" s="38">
        <v>52.407785216056801</v>
      </c>
      <c r="M30" s="38">
        <v>51.997789615746797</v>
      </c>
      <c r="N30" s="38">
        <v>47.118222671306199</v>
      </c>
      <c r="O30" s="38">
        <v>44.674819304086597</v>
      </c>
      <c r="P30" s="38">
        <v>51.025583369858197</v>
      </c>
      <c r="Q30" s="38">
        <v>51.726472620328899</v>
      </c>
      <c r="R30" s="38">
        <v>48.8188820307425</v>
      </c>
    </row>
    <row r="31" spans="1:18" x14ac:dyDescent="0.35">
      <c r="A31" t="s">
        <v>156</v>
      </c>
      <c r="B31" s="38">
        <v>18.352142829554399</v>
      </c>
      <c r="C31" s="38">
        <v>17.150938453222501</v>
      </c>
      <c r="D31" s="38">
        <v>16.1478303917003</v>
      </c>
      <c r="E31" s="38">
        <v>18.1203792484283</v>
      </c>
      <c r="F31" s="38">
        <v>17.445462709680498</v>
      </c>
      <c r="G31" s="38">
        <v>17.102476447564499</v>
      </c>
      <c r="H31" s="38">
        <v>20.100641562263601</v>
      </c>
      <c r="I31" s="38">
        <v>19.674315068834101</v>
      </c>
      <c r="J31" s="38">
        <v>19.000511933962098</v>
      </c>
      <c r="K31" s="38">
        <v>19.9840379726853</v>
      </c>
      <c r="L31" s="38">
        <v>19.057174863518501</v>
      </c>
      <c r="M31" s="38">
        <v>18.166804258722198</v>
      </c>
      <c r="N31" s="38">
        <v>16.9964843009083</v>
      </c>
      <c r="O31" s="38">
        <v>17.517047579178499</v>
      </c>
      <c r="P31" s="38">
        <v>19.532190355493402</v>
      </c>
      <c r="Q31" s="38">
        <v>19.003678275154599</v>
      </c>
      <c r="R31" s="38">
        <v>18.273250096462</v>
      </c>
    </row>
    <row r="32" spans="1:18" x14ac:dyDescent="0.35">
      <c r="A32" t="s">
        <v>157</v>
      </c>
      <c r="B32" s="38">
        <v>2.75413647979956</v>
      </c>
      <c r="C32" s="38">
        <v>2.9058062852420998</v>
      </c>
      <c r="D32" s="38">
        <v>2.0841441989782998</v>
      </c>
      <c r="E32" s="38">
        <v>3.6086517168350598</v>
      </c>
      <c r="F32" s="38">
        <v>4.1650588632936003</v>
      </c>
      <c r="G32" s="38">
        <v>2.3380169112159299</v>
      </c>
      <c r="H32" s="38">
        <v>4.6250087796937098</v>
      </c>
      <c r="I32" s="38">
        <v>4.9085572333261798</v>
      </c>
      <c r="J32" s="38">
        <v>2.8981420972680798</v>
      </c>
      <c r="K32" s="38">
        <v>4.1933166086026903</v>
      </c>
      <c r="L32" s="38">
        <v>2.43821762620937</v>
      </c>
      <c r="M32" s="38">
        <v>3.1470133583175701</v>
      </c>
      <c r="N32" s="38">
        <v>2.4901374681760502</v>
      </c>
      <c r="O32" s="38">
        <v>3.28485380272532</v>
      </c>
      <c r="P32" s="38">
        <v>4.0231465978231196</v>
      </c>
      <c r="Q32" s="38">
        <v>3.2046660384383299</v>
      </c>
      <c r="R32" s="38">
        <v>3.2190884548526202</v>
      </c>
    </row>
    <row r="33" spans="1:18" x14ac:dyDescent="0.35">
      <c r="A33" t="s">
        <v>158</v>
      </c>
      <c r="B33" s="38">
        <v>5.4575568422076604</v>
      </c>
      <c r="C33" s="38">
        <v>4.6465814234578096</v>
      </c>
      <c r="D33" s="38">
        <v>3.78704744789504</v>
      </c>
      <c r="E33" s="38">
        <v>5.1188421664612296</v>
      </c>
      <c r="F33" s="38">
        <v>4.8789826348310701</v>
      </c>
      <c r="G33" s="38">
        <v>4.2868672385329001</v>
      </c>
      <c r="H33" s="38">
        <v>5.2733048363918398</v>
      </c>
      <c r="I33" s="38">
        <v>4.8512839379002202</v>
      </c>
      <c r="J33" s="38">
        <v>4.3024348264189101</v>
      </c>
      <c r="K33" s="38">
        <v>0.94334286781955101</v>
      </c>
      <c r="L33" s="38">
        <v>3.0785869738398</v>
      </c>
      <c r="M33" s="38">
        <v>3.7019803983043702</v>
      </c>
      <c r="N33" s="38">
        <v>4.4586488034117799</v>
      </c>
      <c r="O33" s="38">
        <v>4.7214010895478902</v>
      </c>
      <c r="P33" s="38">
        <v>4.7576866726858498</v>
      </c>
      <c r="Q33" s="38">
        <v>2.6844745398781402</v>
      </c>
      <c r="R33" s="38">
        <v>4.0511469293685902</v>
      </c>
    </row>
    <row r="34" spans="1:18" x14ac:dyDescent="0.35">
      <c r="A34" t="s">
        <v>159</v>
      </c>
      <c r="B34" s="38">
        <v>6.0636533668779498</v>
      </c>
      <c r="C34" s="38">
        <v>5.5151406524054796</v>
      </c>
      <c r="D34" s="38">
        <v>2.9803987462329702</v>
      </c>
      <c r="E34" s="38">
        <v>5.6300084792692999</v>
      </c>
      <c r="F34" s="38">
        <v>5.7355392949424999</v>
      </c>
      <c r="G34" s="38">
        <v>3.0884942883204798</v>
      </c>
      <c r="H34" s="38">
        <v>4.3223665609928297</v>
      </c>
      <c r="I34" s="38">
        <v>5.2039021244076604</v>
      </c>
      <c r="J34" s="38">
        <v>5.5605631966174496</v>
      </c>
      <c r="K34" s="38">
        <v>6.5037411297615204</v>
      </c>
      <c r="L34" s="38">
        <v>3.3437657541339498</v>
      </c>
      <c r="M34" s="38">
        <v>4.3183059654690696</v>
      </c>
      <c r="N34" s="38">
        <v>4.4916477201494098</v>
      </c>
      <c r="O34" s="38">
        <v>4.6731736866186901</v>
      </c>
      <c r="P34" s="38">
        <v>5.0846126563622702</v>
      </c>
      <c r="Q34" s="38">
        <v>4.6144317051974904</v>
      </c>
      <c r="R34" s="38">
        <v>4.69959995154551</v>
      </c>
    </row>
    <row r="35" spans="1:18" x14ac:dyDescent="0.35">
      <c r="A35" t="s">
        <v>161</v>
      </c>
      <c r="B35" s="38">
        <v>24.161016950060802</v>
      </c>
      <c r="C35" s="38">
        <v>25.315838578023499</v>
      </c>
      <c r="D35" s="38">
        <v>22.280246313312201</v>
      </c>
      <c r="E35" s="38">
        <v>21.3706072151688</v>
      </c>
      <c r="F35" s="38">
        <v>20.108300460103798</v>
      </c>
      <c r="G35" s="38">
        <v>27.4042117621219</v>
      </c>
      <c r="H35" s="38">
        <v>25.116723356016301</v>
      </c>
      <c r="I35" s="38">
        <v>15.0459677649598</v>
      </c>
      <c r="J35" s="38">
        <v>29.122575620255699</v>
      </c>
      <c r="K35" s="38">
        <v>35.2859888806383</v>
      </c>
      <c r="L35" s="38">
        <v>34.299946776814998</v>
      </c>
      <c r="M35" s="38">
        <v>43.421603778829102</v>
      </c>
      <c r="N35" s="38">
        <v>23.628797912298399</v>
      </c>
      <c r="O35" s="38">
        <v>23.3316296743896</v>
      </c>
      <c r="P35" s="38">
        <v>23.643459915373999</v>
      </c>
      <c r="Q35" s="38">
        <v>37.8914744421566</v>
      </c>
      <c r="R35" s="38">
        <v>27.841549051600101</v>
      </c>
    </row>
    <row r="37" spans="1:18" x14ac:dyDescent="0.35">
      <c r="A37" t="s">
        <v>144</v>
      </c>
      <c r="B37" s="36">
        <v>44583</v>
      </c>
      <c r="C37" s="36">
        <v>44614</v>
      </c>
      <c r="D37" s="36">
        <v>44642</v>
      </c>
      <c r="E37" s="36">
        <v>44673</v>
      </c>
      <c r="F37" s="36">
        <v>44703</v>
      </c>
      <c r="G37" s="36">
        <v>44734</v>
      </c>
      <c r="H37" s="36">
        <v>44764</v>
      </c>
      <c r="I37" s="36">
        <v>44795</v>
      </c>
      <c r="J37" s="36">
        <v>44826</v>
      </c>
      <c r="K37" s="36">
        <v>44856</v>
      </c>
      <c r="L37" s="36">
        <v>44887</v>
      </c>
      <c r="M37" s="36">
        <v>44917</v>
      </c>
      <c r="N37" t="s">
        <v>174</v>
      </c>
      <c r="O37" t="s">
        <v>175</v>
      </c>
      <c r="P37" t="s">
        <v>176</v>
      </c>
      <c r="Q37" t="s">
        <v>177</v>
      </c>
      <c r="R37" t="s">
        <v>178</v>
      </c>
    </row>
    <row r="38" spans="1:18" x14ac:dyDescent="0.35">
      <c r="A38" t="s">
        <v>179</v>
      </c>
    </row>
    <row r="39" spans="1:18" x14ac:dyDescent="0.35">
      <c r="A39" t="s">
        <v>153</v>
      </c>
      <c r="B39" s="38">
        <v>213.40002545370999</v>
      </c>
      <c r="C39" s="38">
        <v>236.824652695396</v>
      </c>
      <c r="D39" s="38">
        <v>363.371512623944</v>
      </c>
      <c r="E39" s="38">
        <v>231.548287289906</v>
      </c>
      <c r="F39" s="38">
        <v>229.475562049681</v>
      </c>
      <c r="G39" s="38">
        <v>279.85001880541603</v>
      </c>
      <c r="H39" s="38">
        <v>220.50312280117899</v>
      </c>
      <c r="I39" s="38">
        <v>233.10183656016699</v>
      </c>
      <c r="J39" s="38">
        <v>285.613890627079</v>
      </c>
      <c r="K39" s="38">
        <v>285.51500636773397</v>
      </c>
      <c r="L39" s="38">
        <v>364.18598326287298</v>
      </c>
      <c r="M39" s="38">
        <v>360.927538830115</v>
      </c>
      <c r="N39" s="38">
        <v>813.59619077305001</v>
      </c>
      <c r="O39" s="38">
        <v>740.87386814500303</v>
      </c>
      <c r="P39" s="38">
        <v>739.21884998842495</v>
      </c>
      <c r="Q39" s="38">
        <v>1010.62852846072</v>
      </c>
      <c r="R39" s="38">
        <v>3304.3174373672</v>
      </c>
    </row>
    <row r="40" spans="1:18" x14ac:dyDescent="0.35">
      <c r="A40" t="s">
        <v>148</v>
      </c>
      <c r="B40" s="38">
        <v>585.08472757694005</v>
      </c>
      <c r="C40" s="38">
        <v>635.21346991503196</v>
      </c>
      <c r="D40" s="38">
        <v>895.88101339976299</v>
      </c>
      <c r="E40" s="38">
        <v>638.18122580173201</v>
      </c>
      <c r="F40" s="38">
        <v>638.15555432156702</v>
      </c>
      <c r="G40" s="38">
        <v>813.16596987588002</v>
      </c>
      <c r="H40" s="38">
        <v>646.294631942048</v>
      </c>
      <c r="I40" s="38">
        <v>667.19483775455103</v>
      </c>
      <c r="J40" s="38">
        <v>775.53531785519601</v>
      </c>
      <c r="K40" s="38">
        <v>748.54294939681597</v>
      </c>
      <c r="L40" s="38">
        <v>879.53583637730401</v>
      </c>
      <c r="M40" s="38">
        <v>904.30844506316703</v>
      </c>
      <c r="N40" s="38">
        <v>2116.1792108917298</v>
      </c>
      <c r="O40" s="38">
        <v>2089.5027499991802</v>
      </c>
      <c r="P40" s="38">
        <v>2089.0247875517898</v>
      </c>
      <c r="Q40" s="38">
        <v>2532.3872308372802</v>
      </c>
      <c r="R40" s="38">
        <v>8827.09397928</v>
      </c>
    </row>
    <row r="41" spans="1:18" x14ac:dyDescent="0.35">
      <c r="A41" t="s">
        <v>149</v>
      </c>
      <c r="B41" s="38">
        <v>52.171243313002101</v>
      </c>
      <c r="C41" s="38">
        <v>57.764328269735998</v>
      </c>
      <c r="D41" s="38">
        <v>77.235378756306105</v>
      </c>
      <c r="E41" s="38">
        <v>60.589783257096002</v>
      </c>
      <c r="F41" s="38">
        <v>63.663899961394101</v>
      </c>
      <c r="G41" s="38">
        <v>82.536693948882004</v>
      </c>
      <c r="H41" s="38">
        <v>47.842872709030999</v>
      </c>
      <c r="I41" s="38">
        <v>53.308958403406898</v>
      </c>
      <c r="J41" s="38">
        <v>69.325428989343095</v>
      </c>
      <c r="K41" s="38">
        <v>83.966701193033998</v>
      </c>
      <c r="L41" s="38">
        <v>106.391471432552</v>
      </c>
      <c r="M41" s="38">
        <v>110.16236581771</v>
      </c>
      <c r="N41" s="38">
        <v>187.170950339044</v>
      </c>
      <c r="O41" s="38">
        <v>206.79037716737199</v>
      </c>
      <c r="P41" s="38">
        <v>170.47726010178101</v>
      </c>
      <c r="Q41" s="38">
        <v>300.52053844329799</v>
      </c>
      <c r="R41" s="38">
        <v>864.95912605149499</v>
      </c>
    </row>
    <row r="42" spans="1:18" x14ac:dyDescent="0.35">
      <c r="A42" t="s">
        <v>150</v>
      </c>
      <c r="B42" s="38">
        <v>0.142762905206856</v>
      </c>
      <c r="C42" s="38">
        <v>0.14207204370311</v>
      </c>
      <c r="D42" s="38">
        <v>0.130854462539748</v>
      </c>
      <c r="E42" s="38">
        <v>0.14702436977539299</v>
      </c>
      <c r="F42" s="38">
        <v>0.15146279323076201</v>
      </c>
      <c r="G42" s="38">
        <v>0.14922217034200899</v>
      </c>
      <c r="H42" s="38">
        <v>0.12471106721097</v>
      </c>
      <c r="I42" s="38">
        <v>0.130321299188325</v>
      </c>
      <c r="J42" s="38">
        <v>0.14098418426061399</v>
      </c>
      <c r="K42" s="38">
        <v>0.15818288582482101</v>
      </c>
      <c r="L42" s="38">
        <v>0.160202137932939</v>
      </c>
      <c r="M42" s="38">
        <v>0.16626793256500999</v>
      </c>
      <c r="N42" s="38">
        <v>0.137514109565883</v>
      </c>
      <c r="O42" s="38">
        <v>0.14923522171603901</v>
      </c>
      <c r="P42" s="38">
        <v>0.13254414555211499</v>
      </c>
      <c r="Q42" s="38">
        <v>0.16177134991396</v>
      </c>
      <c r="R42" s="38">
        <v>0.14607158543992799</v>
      </c>
    </row>
    <row r="43" spans="1:18" x14ac:dyDescent="0.35">
      <c r="A43" t="s">
        <v>151</v>
      </c>
      <c r="B43" s="38">
        <v>8.9168697889386403E-2</v>
      </c>
      <c r="C43" s="38">
        <v>9.0936875563206801E-2</v>
      </c>
      <c r="D43" s="38">
        <v>8.6211648200029301E-2</v>
      </c>
      <c r="E43" s="38">
        <v>9.4941343943451897E-2</v>
      </c>
      <c r="F43" s="38">
        <v>9.9762353442298293E-2</v>
      </c>
      <c r="G43" s="38">
        <v>0.101500427964884</v>
      </c>
      <c r="H43" s="38">
        <v>7.4026412017794696E-2</v>
      </c>
      <c r="I43" s="38">
        <v>7.9900136192328094E-2</v>
      </c>
      <c r="J43" s="38">
        <v>8.9390421549166904E-2</v>
      </c>
      <c r="K43" s="38">
        <v>0.112173524926919</v>
      </c>
      <c r="L43" s="38">
        <v>0.120963202444104</v>
      </c>
      <c r="M43" s="38">
        <v>0.121819459299659</v>
      </c>
      <c r="N43" s="38">
        <v>8.8447589587732703E-2</v>
      </c>
      <c r="O43" s="38">
        <v>9.8966310126872598E-2</v>
      </c>
      <c r="P43" s="38">
        <v>8.1606145182015602E-2</v>
      </c>
      <c r="Q43" s="38">
        <v>0.118670847326905</v>
      </c>
      <c r="R43" s="38">
        <v>9.7989114886714607E-2</v>
      </c>
    </row>
    <row r="44" spans="1:18" x14ac:dyDescent="0.35">
      <c r="A44" t="s">
        <v>152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 spans="1:18" x14ac:dyDescent="0.35">
      <c r="A45" t="s">
        <v>27</v>
      </c>
      <c r="B45" s="38">
        <v>274.17275435323302</v>
      </c>
      <c r="C45" s="38">
        <v>268.22100768877402</v>
      </c>
      <c r="D45" s="38">
        <v>246.54684868676401</v>
      </c>
      <c r="E45" s="38">
        <v>275.614746829333</v>
      </c>
      <c r="F45" s="38">
        <v>278.09303466632599</v>
      </c>
      <c r="G45" s="38">
        <v>290.57206190194597</v>
      </c>
      <c r="H45" s="38">
        <v>293.09999048167299</v>
      </c>
      <c r="I45" s="38">
        <v>286.22461650246902</v>
      </c>
      <c r="J45" s="38">
        <v>271.53277319687402</v>
      </c>
      <c r="K45" s="38">
        <v>262.17289203801698</v>
      </c>
      <c r="L45" s="38">
        <v>241.50732779367999</v>
      </c>
      <c r="M45" s="38">
        <v>250.551245824668</v>
      </c>
      <c r="N45" s="38">
        <v>260.10190741933201</v>
      </c>
      <c r="O45" s="38">
        <v>282.03218386293798</v>
      </c>
      <c r="P45" s="38">
        <v>282.59896072516301</v>
      </c>
      <c r="Q45" s="38">
        <v>250.575474521221</v>
      </c>
      <c r="R45" s="38">
        <v>267.13819560608601</v>
      </c>
    </row>
    <row r="46" spans="1:18" x14ac:dyDescent="0.35">
      <c r="A46" t="s">
        <v>154</v>
      </c>
      <c r="B46" s="38">
        <v>154.96887527885201</v>
      </c>
      <c r="C46" s="38">
        <v>156.58497534270001</v>
      </c>
      <c r="D46" s="38">
        <v>152.603127373072</v>
      </c>
      <c r="E46" s="38">
        <v>161.38688290036799</v>
      </c>
      <c r="F46" s="38">
        <v>162.867501601556</v>
      </c>
      <c r="G46" s="38">
        <v>174.089813016904</v>
      </c>
      <c r="H46" s="38">
        <v>180.79278413985199</v>
      </c>
      <c r="I46" s="38">
        <v>175.134684635756</v>
      </c>
      <c r="J46" s="38">
        <v>159.743248014926</v>
      </c>
      <c r="K46" s="38">
        <v>158.164735795485</v>
      </c>
      <c r="L46" s="38">
        <v>151.60765565026799</v>
      </c>
      <c r="M46" s="38">
        <v>148.92520503182399</v>
      </c>
      <c r="N46" s="38">
        <v>154.38269620859899</v>
      </c>
      <c r="O46" s="38">
        <v>166.643757529222</v>
      </c>
      <c r="P46" s="38">
        <v>170.87562186173199</v>
      </c>
      <c r="Q46" s="38">
        <v>152.502123255535</v>
      </c>
      <c r="R46" s="38">
        <v>160.24630379275601</v>
      </c>
    </row>
    <row r="47" spans="1:18" x14ac:dyDescent="0.35">
      <c r="A47" t="s">
        <v>155</v>
      </c>
      <c r="B47" s="38">
        <v>59.404657785756299</v>
      </c>
      <c r="C47" s="38">
        <v>54.204851968282199</v>
      </c>
      <c r="D47" s="38">
        <v>43.457076248081101</v>
      </c>
      <c r="E47" s="38">
        <v>54.513892798237698</v>
      </c>
      <c r="F47" s="38">
        <v>55.891300161228699</v>
      </c>
      <c r="G47" s="38">
        <v>56.328758196805303</v>
      </c>
      <c r="H47" s="38">
        <v>57.559409531222002</v>
      </c>
      <c r="I47" s="38">
        <v>56.7546876288473</v>
      </c>
      <c r="J47" s="38">
        <v>55.631371514787403</v>
      </c>
      <c r="K47" s="38">
        <v>45.4173483450463</v>
      </c>
      <c r="L47" s="38">
        <v>35.102065569346699</v>
      </c>
      <c r="M47" s="38">
        <v>42.644765207239502</v>
      </c>
      <c r="N47" s="38">
        <v>50.768507429435999</v>
      </c>
      <c r="O47" s="38">
        <v>55.6260543687021</v>
      </c>
      <c r="P47" s="38">
        <v>56.560711253268003</v>
      </c>
      <c r="Q47" s="38">
        <v>40.709997548528499</v>
      </c>
      <c r="R47" s="38">
        <v>50.077023865094198</v>
      </c>
    </row>
    <row r="48" spans="1:18" x14ac:dyDescent="0.35">
      <c r="A48" t="s">
        <v>156</v>
      </c>
      <c r="B48" s="38">
        <v>20.6575223485913</v>
      </c>
      <c r="C48" s="38">
        <v>19.324473651340298</v>
      </c>
      <c r="D48" s="38">
        <v>18.224889689835301</v>
      </c>
      <c r="E48" s="38">
        <v>19.191886677339799</v>
      </c>
      <c r="F48" s="38">
        <v>17.213485094961001</v>
      </c>
      <c r="G48" s="38">
        <v>16.793696970475398</v>
      </c>
      <c r="H48" s="38">
        <v>18.1949841981038</v>
      </c>
      <c r="I48" s="38">
        <v>17.034080355583502</v>
      </c>
      <c r="J48" s="38">
        <v>17.876327137976801</v>
      </c>
      <c r="K48" s="38">
        <v>17.119543249872301</v>
      </c>
      <c r="L48" s="38">
        <v>16.107616335046401</v>
      </c>
      <c r="M48" s="38">
        <v>17.3226379407498</v>
      </c>
      <c r="N48" s="38">
        <v>19.183021586139098</v>
      </c>
      <c r="O48" s="38">
        <v>17.673236475169201</v>
      </c>
      <c r="P48" s="38">
        <v>17.705789826930001</v>
      </c>
      <c r="Q48" s="38">
        <v>16.827420948528001</v>
      </c>
      <c r="R48" s="38">
        <v>17.793568184492202</v>
      </c>
    </row>
    <row r="49" spans="1:18" x14ac:dyDescent="0.35">
      <c r="A49" t="s">
        <v>157</v>
      </c>
      <c r="B49" s="38">
        <v>3.0762416891632198</v>
      </c>
      <c r="C49" s="38">
        <v>3.2613583340186398</v>
      </c>
      <c r="D49" s="38">
        <v>2.4071440332382901</v>
      </c>
      <c r="E49" s="38">
        <v>3.6181224425136098</v>
      </c>
      <c r="F49" s="38">
        <v>3.5488312894637999</v>
      </c>
      <c r="G49" s="38">
        <v>2.90758446947709</v>
      </c>
      <c r="H49" s="38">
        <v>3.6519666684960601</v>
      </c>
      <c r="I49" s="38">
        <v>3.7424417912899099</v>
      </c>
      <c r="J49" s="38">
        <v>3.2427959523537502</v>
      </c>
      <c r="K49" s="38">
        <v>3.2876382460970301</v>
      </c>
      <c r="L49" s="38">
        <v>2.4341135999441699</v>
      </c>
      <c r="M49" s="38">
        <v>2.4993592103984699</v>
      </c>
      <c r="N49" s="38">
        <v>2.8312911295850101</v>
      </c>
      <c r="O49" s="38">
        <v>3.3282692021164499</v>
      </c>
      <c r="P49" s="38">
        <v>3.52240432997707</v>
      </c>
      <c r="Q49" s="38">
        <v>2.6985461039316898</v>
      </c>
      <c r="R49" s="38">
        <v>3.0567313532828599</v>
      </c>
    </row>
    <row r="50" spans="1:18" x14ac:dyDescent="0.35">
      <c r="A50" t="s">
        <v>158</v>
      </c>
      <c r="B50" s="38">
        <v>5.1193156770670898</v>
      </c>
      <c r="C50" s="38">
        <v>4.5983072806362797</v>
      </c>
      <c r="D50" s="38">
        <v>3.8475287617680798</v>
      </c>
      <c r="E50" s="38">
        <v>4.7462354215340703</v>
      </c>
      <c r="F50" s="38">
        <v>4.7781208200942</v>
      </c>
      <c r="G50" s="38">
        <v>4.8269112002684498</v>
      </c>
      <c r="H50" s="38">
        <v>4.9126266656256501</v>
      </c>
      <c r="I50" s="38">
        <v>4.7352746334076699</v>
      </c>
      <c r="J50" s="38">
        <v>4.7600103505165503</v>
      </c>
      <c r="K50" s="38">
        <v>3.9174418996409002</v>
      </c>
      <c r="L50" s="38">
        <v>3.2002484626755598</v>
      </c>
      <c r="M50" s="38">
        <v>3.8145256513145398</v>
      </c>
      <c r="N50" s="38">
        <v>4.3996481388903099</v>
      </c>
      <c r="O50" s="38">
        <v>4.7865851210403703</v>
      </c>
      <c r="P50" s="38">
        <v>4.7977345413778796</v>
      </c>
      <c r="Q50" s="38">
        <v>3.6222423314084899</v>
      </c>
      <c r="R50" s="38">
        <v>4.3376916169229398</v>
      </c>
    </row>
    <row r="51" spans="1:18" x14ac:dyDescent="0.35">
      <c r="A51" t="s">
        <v>159</v>
      </c>
      <c r="B51" s="38">
        <v>6.4985140713786302</v>
      </c>
      <c r="C51" s="38">
        <v>5.8558607121650397</v>
      </c>
      <c r="D51" s="38">
        <v>4.7518723969596603</v>
      </c>
      <c r="E51" s="38">
        <v>5.9904921147286201</v>
      </c>
      <c r="F51" s="38">
        <v>6.0505800847996198</v>
      </c>
      <c r="G51" s="38">
        <v>6.1321094103292104</v>
      </c>
      <c r="H51" s="38">
        <v>6.2910786205649201</v>
      </c>
      <c r="I51" s="38">
        <v>5.9540616174401597</v>
      </c>
      <c r="J51" s="38">
        <v>6.00659116583053</v>
      </c>
      <c r="K51" s="38">
        <v>4.8573270616858402</v>
      </c>
      <c r="L51" s="38">
        <v>3.8421283927572398</v>
      </c>
      <c r="M51" s="38">
        <v>4.8227354899250496</v>
      </c>
      <c r="N51" s="38">
        <v>5.5313561682703796</v>
      </c>
      <c r="O51" s="38">
        <v>6.0625965927488998</v>
      </c>
      <c r="P51" s="38">
        <v>6.0748870946532501</v>
      </c>
      <c r="Q51" s="38">
        <v>4.4791404525140797</v>
      </c>
      <c r="R51" s="38">
        <v>5.4502414536625396</v>
      </c>
    </row>
    <row r="52" spans="1:18" x14ac:dyDescent="0.35">
      <c r="A52" t="s">
        <v>161</v>
      </c>
      <c r="B52" s="38">
        <v>24.4476275024244</v>
      </c>
      <c r="C52" s="38">
        <v>24.391180399631999</v>
      </c>
      <c r="D52" s="38">
        <v>21.255210183809201</v>
      </c>
      <c r="E52" s="38">
        <v>26.167234474611199</v>
      </c>
      <c r="F52" s="38">
        <v>27.743215614223399</v>
      </c>
      <c r="G52" s="38">
        <v>29.493188637686298</v>
      </c>
      <c r="H52" s="38">
        <v>21.697140657807999</v>
      </c>
      <c r="I52" s="38">
        <v>22.869385840144101</v>
      </c>
      <c r="J52" s="38">
        <v>24.272429060482899</v>
      </c>
      <c r="K52" s="38">
        <v>29.408857440189198</v>
      </c>
      <c r="L52" s="38">
        <v>29.213499783641701</v>
      </c>
      <c r="M52" s="38">
        <v>30.5220172932172</v>
      </c>
      <c r="N52" s="38">
        <v>23.0053867584115</v>
      </c>
      <c r="O52" s="38">
        <v>27.9116845739387</v>
      </c>
      <c r="P52" s="38">
        <v>23.061811817224399</v>
      </c>
      <c r="Q52" s="38">
        <v>29.736003880774799</v>
      </c>
      <c r="R52" s="38">
        <v>26.176635339874402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e65969-a275-451e-983b-5f786f94244c">
      <Terms xmlns="http://schemas.microsoft.com/office/infopath/2007/PartnerControls"/>
    </lcf76f155ced4ddcb4097134ff3c332f>
    <TaxCatchAll xmlns="a0f6e51f-e14f-46c3-9e2d-f46a58ac50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B8658EADCB24FB3AB2345C099C873" ma:contentTypeVersion="18" ma:contentTypeDescription="Create a new document." ma:contentTypeScope="" ma:versionID="d21192ab0349892260ce7c749ac68554">
  <xsd:schema xmlns:xsd="http://www.w3.org/2001/XMLSchema" xmlns:xs="http://www.w3.org/2001/XMLSchema" xmlns:p="http://schemas.microsoft.com/office/2006/metadata/properties" xmlns:ns2="02e65969-a275-451e-983b-5f786f94244c" xmlns:ns3="a0f6e51f-e14f-46c3-9e2d-f46a58ac5036" targetNamespace="http://schemas.microsoft.com/office/2006/metadata/properties" ma:root="true" ma:fieldsID="2e09bfb882a96281d6f867f917bd8a87" ns2:_="" ns3:_="">
    <xsd:import namespace="02e65969-a275-451e-983b-5f786f94244c"/>
    <xsd:import namespace="a0f6e51f-e14f-46c3-9e2d-f46a58ac5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65969-a275-451e-983b-5f786f942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f55408c-0d0f-47c9-952d-fbf884126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6e51f-e14f-46c3-9e2d-f46a58ac5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20cc4-e86e-4925-a1e9-6e881144f081}" ma:internalName="TaxCatchAll" ma:showField="CatchAllData" ma:web="a0f6e51f-e14f-46c3-9e2d-f46a58ac5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7E3D47-ABCA-4EF5-A8C6-8F2F517633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7E91FD-44F0-49F3-A509-8A605EE0DA54}">
  <ds:schemaRefs>
    <ds:schemaRef ds:uri="http://schemas.microsoft.com/office/2006/documentManagement/types"/>
    <ds:schemaRef ds:uri="02e65969-a275-451e-983b-5f786f94244c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a0f6e51f-e14f-46c3-9e2d-f46a58ac5036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BF11CB1-EAD1-4F14-B2E8-F538B262D6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e65969-a275-451e-983b-5f786f94244c"/>
    <ds:schemaRef ds:uri="a0f6e51f-e14f-46c3-9e2d-f46a58ac5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c318280-7c9c-4662-8a9d-f5deee4d6fb7}" enabled="0" method="" siteId="{cc318280-7c9c-4662-8a9d-f5deee4d6f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Data-Cons</vt:lpstr>
      <vt:lpstr>Q4 2025</vt:lpstr>
      <vt:lpstr>Data-PM vs PF</vt:lpstr>
      <vt:lpstr>Q2 2022 (Spec)</vt:lpstr>
      <vt:lpstr>Q2 2022 (HML)</vt:lpstr>
      <vt:lpstr>Q2 2022</vt:lpstr>
      <vt:lpstr>Q1 2022</vt:lpstr>
      <vt:lpstr>Special SGA</vt:lpstr>
      <vt:lpstr>SGA</vt:lpstr>
      <vt:lpstr>'Q1 2022'!Print_Area</vt:lpstr>
      <vt:lpstr>'Q2 2022'!Print_Area</vt:lpstr>
      <vt:lpstr>'Q2 2022 (HML)'!Print_Area</vt:lpstr>
      <vt:lpstr>'Q2 2022 (Spec)'!Print_Area</vt:lpstr>
      <vt:lpstr>'Q4 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Flanigan, Jason</dc:creator>
  <cp:keywords/>
  <dc:description/>
  <cp:lastModifiedBy>Bui, Tri</cp:lastModifiedBy>
  <cp:revision/>
  <dcterms:created xsi:type="dcterms:W3CDTF">2022-05-09T15:05:25Z</dcterms:created>
  <dcterms:modified xsi:type="dcterms:W3CDTF">2026-02-27T13:44:12Z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0x010100978B8658EADCB24FB3AB2345C099C873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{A70FA55D-F300-40E1-916E-B9976EE5F1D8}</vt:lpwstr>
  </property>
</Properties>
</file>